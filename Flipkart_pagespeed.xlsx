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<sst xmlns="http://schemas.openxmlformats.org/spreadsheetml/2006/main" count="1406" uniqueCount="496">
  <si>
    <t>LEVEL 1 — Website Score (Category Roll-Up)</t>
  </si>
  <si>
    <t>Category ID</t>
  </si>
  <si>
    <t>Category</t>
  </si>
  <si>
    <t>Weight</t>
  </si>
  <si>
    <t>Score</t>
  </si>
  <si>
    <t>Status</t>
  </si>
  <si>
    <t>C1</t>
  </si>
  <si>
    <t>Performance</t>
  </si>
  <si>
    <t>Needs Improvement</t>
  </si>
  <si>
    <t>C2</t>
  </si>
  <si>
    <t>Accessibility</t>
  </si>
  <si>
    <t>Good</t>
  </si>
  <si>
    <t>C3</t>
  </si>
  <si>
    <t>Best Practices</t>
  </si>
  <si>
    <t>Excellent</t>
  </si>
  <si>
    <t>C4</t>
  </si>
  <si>
    <t>SEO</t>
  </si>
  <si>
    <t>OVR</t>
  </si>
  <si>
    <t>Overall Score</t>
  </si>
  <si>
    <t xml:space="preserve">LEVEL 2 — Sub-Factor Breakdown </t>
  </si>
  <si>
    <t>Performance — Sub-Factors</t>
  </si>
  <si>
    <t>Accessibility — Sub-Factors</t>
  </si>
  <si>
    <t>Best Practices — Sub-Factors</t>
  </si>
  <si>
    <t>Sub-Factor ID</t>
  </si>
  <si>
    <t>Sub-Factor</t>
  </si>
  <si>
    <t>Weigth</t>
  </si>
  <si>
    <t>A1</t>
  </si>
  <si>
    <t>Color Contrast</t>
  </si>
  <si>
    <t>B1</t>
  </si>
  <si>
    <t>HTTPS Security</t>
  </si>
  <si>
    <t>P1</t>
  </si>
  <si>
    <t>Largest Contentful Paint (LCP)</t>
  </si>
  <si>
    <t>A2</t>
  </si>
  <si>
    <t>Image Alt Text</t>
  </si>
  <si>
    <t>B2</t>
  </si>
  <si>
    <t>JavaScript Errors</t>
  </si>
  <si>
    <t>P2</t>
  </si>
  <si>
    <t>Total Blocking Time (TBT)</t>
  </si>
  <si>
    <t>A3</t>
  </si>
  <si>
    <t>Form Labels</t>
  </si>
  <si>
    <t>B3</t>
  </si>
  <si>
    <t>Console Errors</t>
  </si>
  <si>
    <t>P3</t>
  </si>
  <si>
    <t>Cumulative Layout Shift (CLS)</t>
  </si>
  <si>
    <t>A4</t>
  </si>
  <si>
    <t>Keyboard Navigation</t>
  </si>
  <si>
    <t>B4</t>
  </si>
  <si>
    <t>Deprecated APIs</t>
  </si>
  <si>
    <t>P4</t>
  </si>
  <si>
    <t>First Contentful Paint (FCP)</t>
  </si>
  <si>
    <t>A5</t>
  </si>
  <si>
    <t>ARIA Attributes</t>
  </si>
  <si>
    <t>B5</t>
  </si>
  <si>
    <t>Third-Party Libraries</t>
  </si>
  <si>
    <t>P5</t>
  </si>
  <si>
    <t>Speed Index</t>
  </si>
  <si>
    <t>A6</t>
  </si>
  <si>
    <t>Heading Structure</t>
  </si>
  <si>
    <t>B6</t>
  </si>
  <si>
    <t>Image Optimization</t>
  </si>
  <si>
    <t>OVR_P</t>
  </si>
  <si>
    <t>Weighted Performance Score</t>
  </si>
  <si>
    <t>OVR_A</t>
  </si>
  <si>
    <t>Weighted Accessibility Score</t>
  </si>
  <si>
    <t>OVR_B</t>
  </si>
  <si>
    <t>Weighted Best Practices Score</t>
  </si>
  <si>
    <t xml:space="preserve"> LEVEL 3 — Detail Factors</t>
  </si>
  <si>
    <t>SEO --  Sub-Factors</t>
  </si>
  <si>
    <t>S1</t>
  </si>
  <si>
    <t>Meta Title</t>
  </si>
  <si>
    <t>Level 3 — Largest Contentful Paint (LCP) Details (P1)</t>
  </si>
  <si>
    <t>S2</t>
  </si>
  <si>
    <t>Meta Description</t>
  </si>
  <si>
    <t>S3</t>
  </si>
  <si>
    <t>Factor ID</t>
  </si>
  <si>
    <t>Factor</t>
  </si>
  <si>
    <t>Value</t>
  </si>
  <si>
    <t>Unit</t>
  </si>
  <si>
    <t>Type</t>
  </si>
  <si>
    <t>Threshold</t>
  </si>
  <si>
    <t>Good Range</t>
  </si>
  <si>
    <t>Flag</t>
  </si>
  <si>
    <t>S4</t>
  </si>
  <si>
    <t>Robots.txt</t>
  </si>
  <si>
    <t>P1F1</t>
  </si>
  <si>
    <t>Time to First Byte (TTFB)</t>
  </si>
  <si>
    <t>ms</t>
  </si>
  <si>
    <t>Lower</t>
  </si>
  <si>
    <t>&lt; 200 ms</t>
  </si>
  <si>
    <t>⚠ Fix</t>
  </si>
  <si>
    <t>S5</t>
  </si>
  <si>
    <t>Sitemap.xml</t>
  </si>
  <si>
    <t>P1F2</t>
  </si>
  <si>
    <t>HTML Download Time</t>
  </si>
  <si>
    <t>&lt; 300 ms</t>
  </si>
  <si>
    <t>OK</t>
  </si>
  <si>
    <t>S6</t>
  </si>
  <si>
    <t>Mobile Friendliness</t>
  </si>
  <si>
    <t>P1F3</t>
  </si>
  <si>
    <t>CSS Blocking Time</t>
  </si>
  <si>
    <t>OVR_S</t>
  </si>
  <si>
    <t>Weighted SEO Score</t>
  </si>
  <si>
    <t>P1F4</t>
  </si>
  <si>
    <t>Largest Image Download</t>
  </si>
  <si>
    <t>&lt; 500 ms</t>
  </si>
  <si>
    <t>P1F5</t>
  </si>
  <si>
    <t>Largest Element Render</t>
  </si>
  <si>
    <t>P1F6</t>
  </si>
  <si>
    <t>Font Loading Time</t>
  </si>
  <si>
    <t>&lt; 100 ms</t>
  </si>
  <si>
    <t>Level 3 — Total Blocking Time (TBT) Details (P2)</t>
  </si>
  <si>
    <t>P2F1</t>
  </si>
  <si>
    <t>JavaScript Execution Time</t>
  </si>
  <si>
    <t>P2F2</t>
  </si>
  <si>
    <t>Long Tasks</t>
  </si>
  <si>
    <t>count</t>
  </si>
  <si>
    <t>Zero</t>
  </si>
  <si>
    <t>P2F3</t>
  </si>
  <si>
    <t>Main Thread Blocking</t>
  </si>
  <si>
    <t>P2F4</t>
  </si>
  <si>
    <t>Third-Party Script Time</t>
  </si>
  <si>
    <t>P2F5</t>
  </si>
  <si>
    <t>DOM Processing Time</t>
  </si>
  <si>
    <t>Level 3 — Cumulative Layout Shift (CLS) Details (P3)</t>
  </si>
  <si>
    <t>P3F1</t>
  </si>
  <si>
    <t>Images Without Dimensions</t>
  </si>
  <si>
    <t>ok</t>
  </si>
  <si>
    <t>P3F2</t>
  </si>
  <si>
    <t>Ads Causing Shift</t>
  </si>
  <si>
    <t>P3F3</t>
  </si>
  <si>
    <t>Dynamic Content Shifts</t>
  </si>
  <si>
    <t>P3F4</t>
  </si>
  <si>
    <t>Font Swap Events</t>
  </si>
  <si>
    <t>P3F5</t>
  </si>
  <si>
    <t>Layout Shift Events</t>
  </si>
  <si>
    <t>Level 3 — First Contentful Paint (FCP) Details (P4)</t>
  </si>
  <si>
    <t>P4F1</t>
  </si>
  <si>
    <t>DNS Lookup</t>
  </si>
  <si>
    <t>&lt; 50 ms</t>
  </si>
  <si>
    <t>P4F2</t>
  </si>
  <si>
    <t>TCP Connection</t>
  </si>
  <si>
    <t>P4F3</t>
  </si>
  <si>
    <t>SSL Handshake</t>
  </si>
  <si>
    <t>P4F4</t>
  </si>
  <si>
    <t>P4F5</t>
  </si>
  <si>
    <t>CSS &amp; Render-Blocking JS</t>
  </si>
  <si>
    <t>P4F6</t>
  </si>
  <si>
    <t>First Paint Render</t>
  </si>
  <si>
    <t>Level 3 — Speed Index Details (P5)</t>
  </si>
  <si>
    <t>P5F1</t>
  </si>
  <si>
    <t>Above-Fold Image Load</t>
  </si>
  <si>
    <t>&lt; 800 ms</t>
  </si>
  <si>
    <t>P5F2</t>
  </si>
  <si>
    <t>CSS Render Time</t>
  </si>
  <si>
    <t>P5F3</t>
  </si>
  <si>
    <t>JavaScript Render Time</t>
  </si>
  <si>
    <t>P5F4</t>
  </si>
  <si>
    <t>DOM Render Time</t>
  </si>
  <si>
    <t>P5F5</t>
  </si>
  <si>
    <t>Visual Completion</t>
  </si>
  <si>
    <t>&lt; 2000 ms</t>
  </si>
  <si>
    <t>Level 3 — Color Contrast Details (A1)</t>
  </si>
  <si>
    <t>A1F1</t>
  </si>
  <si>
    <t>Contrast Ratio</t>
  </si>
  <si>
    <t>ratio</t>
  </si>
  <si>
    <t>Higher</t>
  </si>
  <si>
    <t>&gt;= 4.5:1</t>
  </si>
  <si>
    <t>A1F2</t>
  </si>
  <si>
    <t>Low Contrast Text</t>
  </si>
  <si>
    <t>A1F3</t>
  </si>
  <si>
    <t>Low Contrast Buttons</t>
  </si>
  <si>
    <t>A1F4</t>
  </si>
  <si>
    <t>Low Contrast Links</t>
  </si>
  <si>
    <t>Level 3 — Image Alt Text Details (A2)</t>
  </si>
  <si>
    <t>A2F1</t>
  </si>
  <si>
    <t>Missing Alt Text</t>
  </si>
  <si>
    <t>A2F2</t>
  </si>
  <si>
    <t>Empty Alt Attributes</t>
  </si>
  <si>
    <t>A2F3</t>
  </si>
  <si>
    <t>Decorative Images Tagged</t>
  </si>
  <si>
    <t>Reference</t>
  </si>
  <si>
    <t>-</t>
  </si>
  <si>
    <t>n/a</t>
  </si>
  <si>
    <t>A2F4</t>
  </si>
  <si>
    <t>Total Images Scanned</t>
  </si>
  <si>
    <t>Level 3 — Form Labels Details (A3)</t>
  </si>
  <si>
    <t>A3F1</t>
  </si>
  <si>
    <t>Missing Labels</t>
  </si>
  <si>
    <t>A3F2</t>
  </si>
  <si>
    <t>Placeholder-Only Inputs</t>
  </si>
  <si>
    <t>A3F3</t>
  </si>
  <si>
    <t>Required Fields</t>
  </si>
  <si>
    <t>A3F4</t>
  </si>
  <si>
    <t>Total Inputs Scanned</t>
  </si>
  <si>
    <t>Level 3 — Keyboard Navigation Details (A4)</t>
  </si>
  <si>
    <t>A4F1</t>
  </si>
  <si>
    <t>Keyboard Traps</t>
  </si>
  <si>
    <t>A4F2</t>
  </si>
  <si>
    <t>Missing Focus Indicators</t>
  </si>
  <si>
    <t>A4F3</t>
  </si>
  <si>
    <t>Tab Order Errors</t>
  </si>
  <si>
    <t>A4F4</t>
  </si>
  <si>
    <t>Focusable Elements</t>
  </si>
  <si>
    <t>Level 3 — ARIA Attributes Details (A5)</t>
  </si>
  <si>
    <t>A5F1</t>
  </si>
  <si>
    <t>Missing ARIA Labels</t>
  </si>
  <si>
    <t>A5F2</t>
  </si>
  <si>
    <t>Invalid ARIA Roles</t>
  </si>
  <si>
    <t>A5F3</t>
  </si>
  <si>
    <t>Missing Descriptions</t>
  </si>
  <si>
    <t>A5F4</t>
  </si>
  <si>
    <t>Landmark Errors</t>
  </si>
  <si>
    <t>Level 3 — Heading Structure Details (A6)</t>
  </si>
  <si>
    <t>A6F1</t>
  </si>
  <si>
    <t>Missing Headings</t>
  </si>
  <si>
    <t>A6F2</t>
  </si>
  <si>
    <t>Incorrect Heading Order</t>
  </si>
  <si>
    <t>A6F3</t>
  </si>
  <si>
    <t>H1 Count</t>
  </si>
  <si>
    <t>A6F4</t>
  </si>
  <si>
    <t>H2 Count</t>
  </si>
  <si>
    <t>Level 3 — HTTPS Security Details (B1)</t>
  </si>
  <si>
    <t>B1F1</t>
  </si>
  <si>
    <t>Mixed Content Warnings</t>
  </si>
  <si>
    <t>B1F2</t>
  </si>
  <si>
    <t>HTTPS Enabled</t>
  </si>
  <si>
    <t>Yes</t>
  </si>
  <si>
    <t>bool</t>
  </si>
  <si>
    <t>Boolean</t>
  </si>
  <si>
    <t>Should be Yes</t>
  </si>
  <si>
    <t>B1F3</t>
  </si>
  <si>
    <t>SSL Certificate Valid</t>
  </si>
  <si>
    <t>B1F4</t>
  </si>
  <si>
    <t>Secure Cookies</t>
  </si>
  <si>
    <t>Level 3 — JavaScript Errors Details (B2)</t>
  </si>
  <si>
    <t>B2F1</t>
  </si>
  <si>
    <t>Runtime Errors</t>
  </si>
  <si>
    <t>B2F2</t>
  </si>
  <si>
    <t>Syntax Errors</t>
  </si>
  <si>
    <t>B2F3</t>
  </si>
  <si>
    <t>Promise Rejections</t>
  </si>
  <si>
    <t>B2F4</t>
  </si>
  <si>
    <t>Failed Resource Loads</t>
  </si>
  <si>
    <t>Level 3 — Console Errors Details (B3)</t>
  </si>
  <si>
    <t>B3F1</t>
  </si>
  <si>
    <t>B3F2</t>
  </si>
  <si>
    <t>Console Warnings</t>
  </si>
  <si>
    <t>B3F3</t>
  </si>
  <si>
    <t>Failed Network Requests</t>
  </si>
  <si>
    <t>B3F4</t>
  </si>
  <si>
    <t>Missing Resources</t>
  </si>
  <si>
    <t>Level 3 — Deprecated APIs Details (B4)</t>
  </si>
  <si>
    <t>B4F1</t>
  </si>
  <si>
    <t>Deprecated JS APIs</t>
  </si>
  <si>
    <t>B4F2</t>
  </si>
  <si>
    <t>Deprecated HTML Tags</t>
  </si>
  <si>
    <t>B4F3</t>
  </si>
  <si>
    <t>Deprecated CSS Properties</t>
  </si>
  <si>
    <t>B4F4</t>
  </si>
  <si>
    <t>Vendor-Prefixed Code</t>
  </si>
  <si>
    <t>Level 3 — Third-Party Libraries Details (B5)</t>
  </si>
  <si>
    <t>B5F1</t>
  </si>
  <si>
    <t>Outdated Libraries</t>
  </si>
  <si>
    <t>B5F2</t>
  </si>
  <si>
    <t>Vulnerable Libraries</t>
  </si>
  <si>
    <t>B5F3</t>
  </si>
  <si>
    <t>Total Libraries Detected</t>
  </si>
  <si>
    <t>B5F4</t>
  </si>
  <si>
    <t>CDN-Hosted Libraries</t>
  </si>
  <si>
    <t>Level 3 — Image Optimization Details (B6)</t>
  </si>
  <si>
    <t>B6F1</t>
  </si>
  <si>
    <t>Oversized Images</t>
  </si>
  <si>
    <t>B6F2</t>
  </si>
  <si>
    <t>WebP/AVIF Images Used</t>
  </si>
  <si>
    <t>B6F3</t>
  </si>
  <si>
    <t>Lazy-Loaded Images</t>
  </si>
  <si>
    <t>B6F4</t>
  </si>
  <si>
    <t>Compressed Images</t>
  </si>
  <si>
    <t>Level 3 — Meta Title Details (S1)</t>
  </si>
  <si>
    <t>S1F1</t>
  </si>
  <si>
    <t>Title Length</t>
  </si>
  <si>
    <t>chars</t>
  </si>
  <si>
    <t>&lt; 60 chars</t>
  </si>
  <si>
    <t>S1F2</t>
  </si>
  <si>
    <t>Title Exists</t>
  </si>
  <si>
    <t>S1F3</t>
  </si>
  <si>
    <t>Duplicate Title</t>
  </si>
  <si>
    <t>No</t>
  </si>
  <si>
    <t>BooleanInverse</t>
  </si>
  <si>
    <t>Should be No</t>
  </si>
  <si>
    <t>S1F4</t>
  </si>
  <si>
    <t>Keyword Present in Title</t>
  </si>
  <si>
    <t>Level 3 — Meta Description Details (S2)</t>
  </si>
  <si>
    <t>S2F1</t>
  </si>
  <si>
    <t>Description Length</t>
  </si>
  <si>
    <t>&lt; 160 chars</t>
  </si>
  <si>
    <t>S2F2</t>
  </si>
  <si>
    <t>Description Exists</t>
  </si>
  <si>
    <t>S2F3</t>
  </si>
  <si>
    <t>Duplicate Description</t>
  </si>
  <si>
    <t>S2F4</t>
  </si>
  <si>
    <t>Keyword Present in Description</t>
  </si>
  <si>
    <t>Level 3 — Heading Structure Details (S3)</t>
  </si>
  <si>
    <t>S3F1</t>
  </si>
  <si>
    <t>Missing H1</t>
  </si>
  <si>
    <t>S3F2</t>
  </si>
  <si>
    <t>S3F3</t>
  </si>
  <si>
    <t>S3F4</t>
  </si>
  <si>
    <t>H3 Count</t>
  </si>
  <si>
    <t>Level 3 — Robots.txt Details (S4)</t>
  </si>
  <si>
    <t>S4F1</t>
  </si>
  <si>
    <t>Robots.txt Exists</t>
  </si>
  <si>
    <t>S4F2</t>
  </si>
  <si>
    <t>Sitemap Declared</t>
  </si>
  <si>
    <t>S4F3</t>
  </si>
  <si>
    <t>Crawl Delay Present</t>
  </si>
  <si>
    <t>S4F4</t>
  </si>
  <si>
    <t>Disallowed Rules Count</t>
  </si>
  <si>
    <t>Level 3 — Sitemap.xml Details (S5)</t>
  </si>
  <si>
    <t>S5F1</t>
  </si>
  <si>
    <t>Sitemap.xml Exists</t>
  </si>
  <si>
    <t>S5F2</t>
  </si>
  <si>
    <t>Valid XML Format</t>
  </si>
  <si>
    <t>S5F3</t>
  </si>
  <si>
    <t>Total URLs Indexed</t>
  </si>
  <si>
    <t>S5F4</t>
  </si>
  <si>
    <t>Nested Sitemaps Count</t>
  </si>
  <si>
    <t>Level 3 — Mobile Friendliness Details (S6)</t>
  </si>
  <si>
    <t>S6F1</t>
  </si>
  <si>
    <t>Mobile Viewport Configured</t>
  </si>
  <si>
    <t>S6F2</t>
  </si>
  <si>
    <t>Legible Font Sizes</t>
  </si>
  <si>
    <t>S6F3</t>
  </si>
  <si>
    <t>Tap Target Sizing Errors</t>
  </si>
  <si>
    <t>S6F4</t>
  </si>
  <si>
    <t>Content Fits Viewport</t>
  </si>
  <si>
    <t>LEVEL 4 — Optimization Suggestions</t>
  </si>
  <si>
    <t>Performance Suggestions</t>
  </si>
  <si>
    <t>Suggestion ID</t>
  </si>
  <si>
    <t>Problem</t>
  </si>
  <si>
    <t>Recommendation</t>
  </si>
  <si>
    <t>Est. Score Gain</t>
  </si>
  <si>
    <t>Priority</t>
  </si>
  <si>
    <t>SGP1</t>
  </si>
  <si>
    <t>Large hero banner images slow down LCP</t>
  </si>
  <si>
    <t>Compress hero assets, pre-connect origins, and convert to WebP/AVIF</t>
  </si>
  <si>
    <t>High</t>
  </si>
  <si>
    <t>SGP2</t>
  </si>
  <si>
    <t>Unused core JavaScript bundles delay interactive states</t>
  </si>
  <si>
    <t>Code-split heavy bundles, defer non-critical JS, and optimize hydration</t>
  </si>
  <si>
    <t>SGP3</t>
  </si>
  <si>
    <t>Excessive DOM size increases layout shift (CLS) and memory</t>
  </si>
  <si>
    <t>Reduce deep element nesting in product cards and implement dynamic row rendering</t>
  </si>
  <si>
    <t>Medium</t>
  </si>
  <si>
    <t>SGP4</t>
  </si>
  <si>
    <t>Render-blocking CSS blocks the initial visual paint</t>
  </si>
  <si>
    <t>Extract and inline critical layout CSS, then defer non-essential structural styles</t>
  </si>
  <si>
    <t>SGP5</t>
  </si>
  <si>
    <t>Offscreen assets fetch concurrently with critical items</t>
  </si>
  <si>
    <t>Enforce rigid native lazy-loading for lower product listings and carousel tracks</t>
  </si>
  <si>
    <t>Low</t>
  </si>
  <si>
    <t>Accessibility Suggestions</t>
  </si>
  <si>
    <t>SGA1</t>
  </si>
  <si>
    <t>Critical product banner images lack alternative descriptions</t>
  </si>
  <si>
    <t>Audit dynamic image engines to ensure all product and offer media inject valid alt text.</t>
  </si>
  <si>
    <t>SGA2</t>
  </si>
  <si>
    <t>Search and filter input elements lack clear descriptive form labels</t>
  </si>
  <si>
    <t>Replace placeholder-only attributes with explicit &lt;label&gt; tags or aria-label hooks.</t>
  </si>
  <si>
    <t>SGA3</t>
  </si>
  <si>
    <t>Dynamic carousel controls and mega menus drop focus visibility</t>
  </si>
  <si>
    <t>Ensure active interactive components use distinct, high-contrast CSS :focus indicators.</t>
  </si>
  <si>
    <t>SGA4</t>
  </si>
  <si>
    <t>Complex interactive widget structures miss semantic ARIA nodes</t>
  </si>
  <si>
    <t>Apply appropriate aria-expanded and role="tabpanel" attributes to filter tabs.</t>
  </si>
  <si>
    <t>SGA5</t>
  </si>
  <si>
    <t>Headings bypass logical nesting structures in product rows</t>
  </si>
  <si>
    <t>Re-sequence layout elements so hidden structural sections do not skip heading ranks.</t>
  </si>
  <si>
    <t>Best Practices Suggestions</t>
  </si>
  <si>
    <t>SGB1</t>
  </si>
  <si>
    <t>Unhandled third-party tracker warnings printing to console log</t>
  </si>
  <si>
    <t>Wrap non-critical analytical pixels or cross-origin tracking calls in silent retry catch blocks.</t>
  </si>
  <si>
    <t>SGB2</t>
  </si>
  <si>
    <t>Detected minor utility script library version is outdated</t>
  </si>
  <si>
    <t>Patch the underlying shared open-source or CDN-hosted library bundles to their latest stable version.</t>
  </si>
  <si>
    <t>SGB3</t>
  </si>
  <si>
    <t>Legacy vendor-prefixed CSS styling properties detected in vendor bundle</t>
  </si>
  <si>
    <t>Run production stylesheets through an automated Autoprefixer tool to strip redundant target rules.</t>
  </si>
  <si>
    <t>SEO Suggestions</t>
  </si>
  <si>
    <t>SGS1</t>
  </si>
  <si>
    <t>Dynamic tap targets are sized too close together for mobile devices</t>
  </si>
  <si>
    <t>Add adequate padding and margin thresholds (minimum 48x48px) around interactive buttons and product filters.</t>
  </si>
  <si>
    <t>SGS2</t>
  </si>
  <si>
    <t>Specific viewport font sizes scale below the optimal legibility index</t>
  </si>
  <si>
    <t>Modify responsive media queries to ensure mobile text elements scale to a minimum baseline of 12px/16px.</t>
  </si>
  <si>
    <t>SGS3</t>
  </si>
  <si>
    <t>Structured page title drops target keyword correlation frequency</t>
  </si>
  <si>
    <t>Review automated title generation scripts to weave primary intent terms natively into the initial character blocks.</t>
  </si>
  <si>
    <t>SGS4</t>
  </si>
  <si>
    <t>Crawling path registers excessive un-indexed parameters</t>
  </si>
  <si>
    <t>Audit rule parameters inside the master configuration file to prevent search spiders from cycling redundant tracking links.</t>
  </si>
  <si>
    <t>Flipkart.com</t>
  </si>
  <si>
    <t>Overall audit score</t>
  </si>
  <si>
    <t>Audit ID</t>
  </si>
  <si>
    <t>Website ID</t>
  </si>
  <si>
    <t>Agentic Browsing</t>
  </si>
  <si>
    <t>Core Web Vitals</t>
  </si>
  <si>
    <t>Failed</t>
  </si>
  <si>
    <t>Metric</t>
  </si>
  <si>
    <t>Current Value</t>
  </si>
  <si>
    <t>Google Target</t>
  </si>
  <si>
    <t>2.6 s</t>
  </si>
  <si>
    <t>≤ 2.5 s</t>
  </si>
  <si>
    <t>Interaction to Next Paint (INP)</t>
  </si>
  <si>
    <t>501 ms</t>
  </si>
  <si>
    <t>Poor</t>
  </si>
  <si>
    <t>≤ 200 ms</t>
  </si>
  <si>
    <t>Critical</t>
  </si>
  <si>
    <t>≤ 0.1</t>
  </si>
  <si>
    <t>2.1 s</t>
  </si>
  <si>
    <t>≤ 1.8 s</t>
  </si>
  <si>
    <t>1.1 s</t>
  </si>
  <si>
    <t>≤ 0.8 s</t>
  </si>
  <si>
    <t>Problems &amp; Solutions</t>
  </si>
  <si>
    <t>Issue ID</t>
  </si>
  <si>
    <t>Impact</t>
  </si>
  <si>
    <t>Recommended Solution</t>
  </si>
  <si>
    <t>High INP</t>
  </si>
  <si>
    <t>Slow page response after clicking buttons</t>
  </si>
  <si>
    <t>Reduce JavaScript execution time, split large JS bundles, defer non-critical scripts</t>
  </si>
  <si>
    <t>Open</t>
  </si>
  <si>
    <t>Slow LCP</t>
  </si>
  <si>
    <t>Main content appears late</t>
  </si>
  <si>
    <t>Compress hero images, use WebP/AVIF, preload hero image</t>
  </si>
  <si>
    <t>Slow FCP</t>
  </si>
  <si>
    <t>Users wait before seeing content</t>
  </si>
  <si>
    <t>Inline critical CSS, remove render-blocking CSS &amp; JS</t>
  </si>
  <si>
    <t>High TTFB</t>
  </si>
  <si>
    <t>Slow server response</t>
  </si>
  <si>
    <t>Enable server caching, CDN, optimize backend/database</t>
  </si>
  <si>
    <t>Accessibility Score Low</t>
  </si>
  <si>
    <t>Some users may have difficulty accessing content</t>
  </si>
  <si>
    <t>Improve color contrast, labels, alt text and ARIA attributes</t>
  </si>
  <si>
    <t>SEO Score Not Perfect</t>
  </si>
  <si>
    <t>Minor SEO optimization opportunities</t>
  </si>
  <si>
    <t>Improve metadata, structured data, crawlability</t>
  </si>
  <si>
    <t>Minor Best Practice Issues</t>
  </si>
  <si>
    <t>Score 96</t>
  </si>
  <si>
    <t>Security or coding improvements available</t>
  </si>
  <si>
    <t>Update third-party libraries and remove deprecated APIs</t>
  </si>
  <si>
    <t>Optimization Tasks</t>
  </si>
  <si>
    <t>Task ID</t>
  </si>
  <si>
    <t>Issue</t>
  </si>
  <si>
    <t>Assigned To</t>
  </si>
  <si>
    <t>Estimated Time</t>
  </si>
  <si>
    <t>T001</t>
  </si>
  <si>
    <t>Optimize Hero Images</t>
  </si>
  <si>
    <t>Frontend Developer</t>
  </si>
  <si>
    <t>2 Hours</t>
  </si>
  <si>
    <t>Pending</t>
  </si>
  <si>
    <t>T002</t>
  </si>
  <si>
    <t>Reduce JavaScript Bundle Size</t>
  </si>
  <si>
    <t>5 Hours</t>
  </si>
  <si>
    <t>T003</t>
  </si>
  <si>
    <t>Enable Browser Caching</t>
  </si>
  <si>
    <t>Backend Developer</t>
  </si>
  <si>
    <t>T004</t>
  </si>
  <si>
    <t>Configure CDN</t>
  </si>
  <si>
    <t>DevOps</t>
  </si>
  <si>
    <t>1 Hour</t>
  </si>
  <si>
    <t>T005</t>
  </si>
  <si>
    <t>Remove Render Blocking CSS</t>
  </si>
  <si>
    <t>3 Hours</t>
  </si>
  <si>
    <t>T006</t>
  </si>
  <si>
    <t>Fix Accessibility Issues</t>
  </si>
  <si>
    <t>UI/UX Developer</t>
  </si>
  <si>
    <t>4 Hours</t>
  </si>
  <si>
    <t>T007</t>
  </si>
  <si>
    <t>Improve Meta Tags</t>
  </si>
  <si>
    <t>SEO Team</t>
  </si>
  <si>
    <t>Audit History</t>
  </si>
  <si>
    <t>Audit No</t>
  </si>
  <si>
    <t>Date</t>
  </si>
  <si>
    <t>After Optimization</t>
  </si>
  <si>
    <t>Final Audit</t>
  </si>
  <si>
    <t>Passed</t>
  </si>
  <si>
    <t>Performance Dashboard</t>
  </si>
  <si>
    <t>Performance Score</t>
  </si>
  <si>
    <t>Accessibility Score</t>
  </si>
  <si>
    <t>Best Practices Score</t>
  </si>
  <si>
    <t>SEO Score</t>
  </si>
  <si>
    <t>Critical Issues</t>
  </si>
  <si>
    <t>High Priority Issues</t>
  </si>
  <si>
    <t>Medium Priority Issues</t>
  </si>
  <si>
    <t>Low Priority Issues</t>
  </si>
  <si>
    <t>Open Tasks</t>
  </si>
  <si>
    <t>Completed Tasks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</si>
</sst>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-dd-yyyy"/>
  </numFmts>
  <fonts count="26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</font>
    <font/>
    <font>
      <b/>
      <sz val="15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b/>
      <sz val="14.0"/>
      <color theme="1"/>
      <name val="Arial"/>
    </font>
    <font>
      <color theme="1"/>
      <name val="Google Sans Text"/>
    </font>
    <font>
      <b/>
      <color theme="1"/>
      <name val="Google Sans Text"/>
    </font>
    <font>
      <b/>
      <sz val="18.0"/>
      <color rgb="FF0B5394"/>
      <name val="Arial"/>
    </font>
    <font>
      <b/>
      <color theme="1"/>
      <name val="Arial"/>
    </font>
    <font>
      <b/>
      <sz val="14.0"/>
      <color theme="1"/>
      <name val="Arial"/>
      <scheme val="minor"/>
    </font>
    <font>
      <color theme="1"/>
      <name val="&quot;Google Sans Text&quot;"/>
    </font>
    <font>
      <b/>
      <color theme="1"/>
      <name val="&quot;Google Sans Text&quot;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&quot;Google Sans Text&quot;"/>
    </font>
    <font>
      <sz val="10.0"/>
      <color theme="1"/>
      <name val="&quot;Google Sans Text&quot;"/>
    </font>
    <font>
      <b/>
      <sz val="15.0"/>
      <color theme="1"/>
      <name val="Arial"/>
      <scheme val="minor"/>
    </font>
    <font>
      <b/>
      <i/>
      <u/>
      <sz val="22.0"/>
      <color rgb="FF0000FF"/>
    </font>
    <font>
      <b/>
      <sz val="11.0"/>
      <color theme="1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9" xfId="0" applyAlignment="1" applyFont="1" applyNumberFormat="1">
      <alignment vertical="bottom"/>
    </xf>
    <xf borderId="1" fillId="2" fontId="2" numFmtId="0" xfId="0" applyAlignment="1" applyBorder="1" applyFill="1" applyFont="1">
      <alignment vertical="bottom"/>
    </xf>
    <xf borderId="1" fillId="2" fontId="2" numFmtId="9" xfId="0" applyAlignment="1" applyBorder="1" applyFont="1" applyNumberFormat="1">
      <alignment vertical="bottom"/>
    </xf>
    <xf borderId="2" fillId="2" fontId="2" numFmtId="0" xfId="0" applyAlignment="1" applyBorder="1" applyFont="1">
      <alignment vertical="bottom"/>
    </xf>
    <xf borderId="3" fillId="0" fontId="3" numFmtId="0" xfId="0" applyBorder="1" applyFont="1"/>
    <xf borderId="1" fillId="0" fontId="2" numFmtId="0" xfId="0" applyAlignment="1" applyBorder="1" applyFont="1">
      <alignment vertical="bottom"/>
    </xf>
    <xf borderId="1" fillId="0" fontId="2" numFmtId="9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3" fontId="8" numFmtId="0" xfId="0" applyAlignment="1" applyBorder="1" applyFill="1" applyFont="1">
      <alignment vertical="bottom"/>
    </xf>
    <xf borderId="2" fillId="3" fontId="8" numFmtId="0" xfId="0" applyAlignment="1" applyBorder="1" applyFont="1">
      <alignment vertical="bottom"/>
    </xf>
    <xf borderId="1" fillId="2" fontId="8" numFmtId="0" xfId="0" applyAlignment="1" applyBorder="1" applyFont="1">
      <alignment vertical="bottom"/>
    </xf>
    <xf borderId="2" fillId="2" fontId="8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0" fontId="8" numFmtId="9" xfId="0" applyAlignment="1" applyBorder="1" applyFont="1" applyNumberFormat="1">
      <alignment horizontal="right" vertical="bottom"/>
    </xf>
    <xf borderId="1" fillId="0" fontId="8" numFmtId="0" xfId="0" applyAlignment="1" applyBorder="1" applyFont="1">
      <alignment horizontal="right" vertical="bottom"/>
    </xf>
    <xf borderId="2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right" readingOrder="0" vertical="bottom"/>
    </xf>
    <xf borderId="1" fillId="0" fontId="9" numFmtId="0" xfId="0" applyAlignment="1" applyBorder="1" applyFont="1">
      <alignment vertical="bottom"/>
    </xf>
    <xf borderId="1" fillId="0" fontId="9" numFmtId="9" xfId="0" applyAlignment="1" applyBorder="1" applyFont="1" applyNumberFormat="1">
      <alignment horizontal="right" vertical="bottom"/>
    </xf>
    <xf borderId="1" fillId="0" fontId="9" numFmtId="0" xfId="0" applyAlignment="1" applyBorder="1" applyFont="1">
      <alignment horizontal="right" vertical="bottom"/>
    </xf>
    <xf borderId="2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1" fillId="4" fontId="8" numFmtId="0" xfId="0" applyAlignment="1" applyBorder="1" applyFill="1" applyFont="1">
      <alignment vertical="bottom"/>
    </xf>
    <xf borderId="1" fillId="0" fontId="11" numFmtId="0" xfId="0" applyAlignment="1" applyBorder="1" applyFont="1">
      <alignment vertical="bottom"/>
    </xf>
    <xf borderId="0" fillId="0" fontId="12" numFmtId="0" xfId="0" applyAlignment="1" applyFont="1">
      <alignment readingOrder="0"/>
    </xf>
    <xf borderId="1" fillId="4" fontId="13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1" fillId="5" fontId="13" numFmtId="0" xfId="0" applyAlignment="1" applyBorder="1" applyFill="1" applyFont="1">
      <alignment readingOrder="0"/>
    </xf>
    <xf borderId="0" fillId="0" fontId="16" numFmtId="0" xfId="0" applyAlignment="1" applyFont="1">
      <alignment readingOrder="0"/>
    </xf>
    <xf borderId="1" fillId="0" fontId="17" numFmtId="0" xfId="0" applyAlignment="1" applyBorder="1" applyFont="1">
      <alignment readingOrder="0"/>
    </xf>
    <xf borderId="1" fillId="0" fontId="18" numFmtId="0" xfId="0" applyAlignment="1" applyBorder="1" applyFont="1">
      <alignment readingOrder="0"/>
    </xf>
    <xf borderId="1" fillId="5" fontId="17" numFmtId="0" xfId="0" applyAlignment="1" applyBorder="1" applyFont="1">
      <alignment horizontal="center" readingOrder="0"/>
    </xf>
    <xf borderId="1" fillId="6" fontId="17" numFmtId="0" xfId="0" applyAlignment="1" applyBorder="1" applyFill="1" applyFont="1">
      <alignment horizontal="center" readingOrder="0"/>
    </xf>
    <xf borderId="1" fillId="6" fontId="13" numFmtId="0" xfId="0" applyAlignment="1" applyBorder="1" applyFont="1">
      <alignment readingOrder="0"/>
    </xf>
    <xf borderId="1" fillId="7" fontId="17" numFmtId="0" xfId="0" applyAlignment="1" applyBorder="1" applyFill="1" applyFont="1">
      <alignment horizontal="center" readingOrder="0"/>
    </xf>
    <xf borderId="1" fillId="7" fontId="19" numFmtId="0" xfId="0" applyAlignment="1" applyBorder="1" applyFont="1">
      <alignment horizontal="center" readingOrder="0"/>
    </xf>
    <xf borderId="1" fillId="0" fontId="19" numFmtId="0" xfId="0" applyAlignment="1" applyBorder="1" applyFont="1">
      <alignment readingOrder="0"/>
    </xf>
    <xf borderId="1" fillId="8" fontId="17" numFmtId="0" xfId="0" applyAlignment="1" applyBorder="1" applyFill="1" applyFont="1">
      <alignment horizontal="center" readingOrder="0"/>
    </xf>
    <xf borderId="1" fillId="8" fontId="20" numFmtId="0" xfId="0" applyAlignment="1" applyBorder="1" applyFont="1">
      <alignment readingOrder="0"/>
    </xf>
    <xf borderId="1" fillId="0" fontId="21" numFmtId="0" xfId="0" applyAlignment="1" applyBorder="1" applyFont="1">
      <alignment readingOrder="0"/>
    </xf>
    <xf borderId="1" fillId="8" fontId="13" numFmtId="0" xfId="0" applyAlignment="1" applyBorder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17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8" numFmtId="164" xfId="0" applyAlignment="1" applyFont="1" applyNumberFormat="1">
      <alignment readingOrder="0" shrinkToFit="0" vertical="center" wrapText="0"/>
    </xf>
    <xf borderId="0" fillId="0" fontId="18" numFmtId="165" xfId="0" applyAlignment="1" applyFont="1" applyNumberFormat="1">
      <alignment readingOrder="0" shrinkToFit="0" vertical="center" wrapText="0"/>
    </xf>
    <xf borderId="1" fillId="0" fontId="24" numFmtId="0" xfId="0" applyAlignment="1" applyBorder="1" applyFont="1">
      <alignment horizontal="center" shrinkToFit="0" vertical="bottom" wrapText="1"/>
    </xf>
    <xf borderId="1" fillId="0" fontId="25" numFmtId="0" xfId="0" applyAlignment="1" applyBorder="1" applyFont="1">
      <alignment shrinkToFit="0" vertical="bottom" wrapText="1"/>
    </xf>
    <xf borderId="1" fillId="0" fontId="25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right" vertical="bottom"/>
    </xf>
    <xf borderId="1" fillId="0" fontId="25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H7" displayName="Table" name="Table" id="1">
  <tableColumns count="8">
    <tableColumn name="Audit ID" id="1"/>
    <tableColumn name="Website ID" id="2"/>
    <tableColumn name="Performance" id="3"/>
    <tableColumn name="Accessibility" id="4"/>
    <tableColumn name="Best Practices" id="5"/>
    <tableColumn name="SEO" id="6"/>
    <tableColumn name="Agentic Browsing" id="7"/>
    <tableColumn name="Core Web Vitals" id="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2:E17" displayName="Table1" name="Table1" id="2">
  <tableColumns count="5">
    <tableColumn name="Metric" id="1"/>
    <tableColumn name="Current Value" id="2"/>
    <tableColumn name="Status" id="3"/>
    <tableColumn name="Google Target" id="4"/>
    <tableColumn name="Priority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24:H31" displayName="Table2" name="Table2" id="3">
  <tableColumns count="8">
    <tableColumn name="Issue ID" id="1"/>
    <tableColumn name="Category" id="2"/>
    <tableColumn name="Problem" id="3"/>
    <tableColumn name="Current Value" id="4"/>
    <tableColumn name="Impact" id="5"/>
    <tableColumn name="Recommended Solution" id="6"/>
    <tableColumn name="Priority" id="7"/>
    <tableColumn name="Status" id="8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37:F44" displayName="Table3" name="Table3" id="4">
  <tableColumns count="6">
    <tableColumn name="Task ID" id="1"/>
    <tableColumn name="Issue" id="2"/>
    <tableColumn name="Assigned To" id="3"/>
    <tableColumn name="Estimated Time" id="4"/>
    <tableColumn name="Priority" id="5"/>
    <tableColumn name="Status" id="6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51:G54" displayName="Table4" name="Table4" id="5">
  <tableColumns count="7">
    <tableColumn name="Audit No" id="1"/>
    <tableColumn name="Date" id="2"/>
    <tableColumn name="Performance" id="3"/>
    <tableColumn name="Accessibility" id="4"/>
    <tableColumn name="Best Practices" id="5"/>
    <tableColumn name="SEO" id="6"/>
    <tableColumn name="Core Web Vitals" id="7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A60:B71" displayName="Table5" name="Table5" id="6">
  <tableColumns count="2">
    <tableColumn name="Metric" id="1"/>
    <tableColumn name="Value" id="2"/>
  </tableColumns>
  <tableStyleInfo name="Sheet1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flipkart.com" TargetMode="External"/><Relationship Id="rId2" Type="http://schemas.openxmlformats.org/officeDocument/2006/relationships/drawing" Target="../drawings/drawing2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/>
      <c r="B3" s="2"/>
      <c r="C3" s="3"/>
      <c r="D3" s="2"/>
      <c r="E3" s="2"/>
      <c r="F3" s="2"/>
    </row>
    <row r="4">
      <c r="A4" s="4" t="s">
        <v>1</v>
      </c>
      <c r="B4" s="4" t="s">
        <v>2</v>
      </c>
      <c r="C4" s="5" t="s">
        <v>3</v>
      </c>
      <c r="D4" s="4" t="s">
        <v>4</v>
      </c>
      <c r="E4" s="6" t="s">
        <v>5</v>
      </c>
      <c r="F4" s="7"/>
    </row>
    <row r="5">
      <c r="A5" s="8" t="s">
        <v>6</v>
      </c>
      <c r="B5" s="8" t="s">
        <v>7</v>
      </c>
      <c r="C5" s="9">
        <v>0.25</v>
      </c>
      <c r="D5" s="10">
        <f>SUMPRODUCT(D18:D22,E18:E22)</f>
        <v>76.40102561</v>
      </c>
      <c r="E5" s="11" t="s">
        <v>8</v>
      </c>
      <c r="F5" s="7"/>
    </row>
    <row r="6">
      <c r="A6" s="8" t="s">
        <v>9</v>
      </c>
      <c r="B6" s="8" t="s">
        <v>10</v>
      </c>
      <c r="C6" s="9">
        <v>0.25</v>
      </c>
      <c r="D6" s="10">
        <f>SUMPRODUCT(L17:L22,M17:M22)</f>
        <v>77.085</v>
      </c>
      <c r="E6" s="11" t="s">
        <v>11</v>
      </c>
      <c r="F6" s="7"/>
    </row>
    <row r="7">
      <c r="A7" s="8" t="s">
        <v>12</v>
      </c>
      <c r="B7" s="8" t="s">
        <v>13</v>
      </c>
      <c r="C7" s="9">
        <v>0.25</v>
      </c>
      <c r="D7" s="10">
        <f>SUMPRODUCT(T17:T22,U17:U22)</f>
        <v>94.85576923</v>
      </c>
      <c r="E7" s="11" t="s">
        <v>14</v>
      </c>
      <c r="F7" s="7"/>
    </row>
    <row r="8">
      <c r="A8" s="8" t="s">
        <v>15</v>
      </c>
      <c r="B8" s="8" t="s">
        <v>16</v>
      </c>
      <c r="C8" s="9">
        <v>0.25</v>
      </c>
      <c r="D8" s="10">
        <f>SUMPRODUCT(T29:T34,U29:U34)</f>
        <v>96.5</v>
      </c>
      <c r="E8" s="11" t="s">
        <v>11</v>
      </c>
      <c r="F8" s="7"/>
    </row>
    <row r="9">
      <c r="A9" s="8" t="s">
        <v>17</v>
      </c>
      <c r="B9" s="8" t="s">
        <v>18</v>
      </c>
      <c r="C9" s="9">
        <v>1.0</v>
      </c>
      <c r="D9" s="10">
        <f>SUMPRODUCT(C5:C8,D5:D8)</f>
        <v>86.21044871</v>
      </c>
      <c r="E9" s="11" t="s">
        <v>11</v>
      </c>
      <c r="F9" s="7"/>
    </row>
    <row r="13">
      <c r="A13" s="12" t="s">
        <v>19</v>
      </c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  <row r="15">
      <c r="A15" s="13" t="s">
        <v>20</v>
      </c>
      <c r="B15" s="2"/>
      <c r="C15" s="2"/>
      <c r="D15" s="2"/>
      <c r="E15" s="2"/>
      <c r="F15" s="2"/>
      <c r="G15" s="2"/>
      <c r="I15" s="14" t="s">
        <v>21</v>
      </c>
      <c r="J15" s="2"/>
      <c r="K15" s="2"/>
      <c r="L15" s="2"/>
      <c r="M15" s="2"/>
      <c r="N15" s="2"/>
      <c r="Q15" s="15" t="s">
        <v>22</v>
      </c>
      <c r="R15" s="2"/>
      <c r="S15" s="2"/>
      <c r="T15" s="2"/>
      <c r="U15" s="2"/>
      <c r="V15" s="2"/>
    </row>
    <row r="16">
      <c r="A16" s="16"/>
      <c r="B16" s="16"/>
      <c r="C16" s="16"/>
      <c r="D16" s="16"/>
      <c r="E16" s="16"/>
      <c r="F16" s="17"/>
      <c r="G16" s="7"/>
      <c r="I16" s="18" t="s">
        <v>23</v>
      </c>
      <c r="J16" s="4" t="s">
        <v>1</v>
      </c>
      <c r="K16" s="4" t="s">
        <v>24</v>
      </c>
      <c r="L16" s="4" t="s">
        <v>25</v>
      </c>
      <c r="M16" s="4" t="s">
        <v>4</v>
      </c>
      <c r="N16" s="6" t="s">
        <v>5</v>
      </c>
      <c r="O16" s="7"/>
      <c r="Q16" s="4" t="s">
        <v>23</v>
      </c>
      <c r="R16" s="4" t="s">
        <v>1</v>
      </c>
      <c r="S16" s="4" t="s">
        <v>24</v>
      </c>
      <c r="T16" s="4" t="s">
        <v>3</v>
      </c>
      <c r="U16" s="4" t="s">
        <v>4</v>
      </c>
      <c r="V16" s="4" t="s">
        <v>5</v>
      </c>
    </row>
    <row r="17">
      <c r="A17" s="18" t="s">
        <v>23</v>
      </c>
      <c r="B17" s="18" t="s">
        <v>1</v>
      </c>
      <c r="C17" s="18" t="s">
        <v>24</v>
      </c>
      <c r="D17" s="18" t="s">
        <v>3</v>
      </c>
      <c r="E17" s="18" t="s">
        <v>4</v>
      </c>
      <c r="F17" s="19" t="s">
        <v>5</v>
      </c>
      <c r="G17" s="7"/>
      <c r="I17" s="20" t="s">
        <v>26</v>
      </c>
      <c r="J17" s="20" t="s">
        <v>9</v>
      </c>
      <c r="K17" s="20" t="s">
        <v>27</v>
      </c>
      <c r="L17" s="21">
        <v>0.2</v>
      </c>
      <c r="M17" s="22">
        <f>AVERAGE(H83:H86)</f>
        <v>76.675</v>
      </c>
      <c r="N17" s="23" t="s">
        <v>8</v>
      </c>
      <c r="O17" s="7"/>
      <c r="Q17" s="20" t="s">
        <v>28</v>
      </c>
      <c r="R17" s="20" t="s">
        <v>12</v>
      </c>
      <c r="S17" s="20" t="s">
        <v>29</v>
      </c>
      <c r="T17" s="21">
        <v>0.25</v>
      </c>
      <c r="U17" s="22">
        <f>AVERAGE(H136:H139)</f>
        <v>100</v>
      </c>
      <c r="V17" s="20" t="s">
        <v>14</v>
      </c>
    </row>
    <row r="18">
      <c r="A18" s="20" t="s">
        <v>30</v>
      </c>
      <c r="B18" s="20" t="s">
        <v>6</v>
      </c>
      <c r="C18" s="20" t="s">
        <v>31</v>
      </c>
      <c r="D18" s="21">
        <v>0.25</v>
      </c>
      <c r="E18" s="22">
        <f>AVERAGE(H33:H38)</f>
        <v>78.3993784</v>
      </c>
      <c r="F18" s="20" t="s">
        <v>8</v>
      </c>
      <c r="G18" s="8"/>
      <c r="I18" s="20" t="s">
        <v>32</v>
      </c>
      <c r="J18" s="20" t="s">
        <v>9</v>
      </c>
      <c r="K18" s="20" t="s">
        <v>33</v>
      </c>
      <c r="L18" s="21">
        <v>0.2</v>
      </c>
      <c r="M18" s="22">
        <f>AVERAGE(H92:H95)</f>
        <v>75</v>
      </c>
      <c r="N18" s="23" t="s">
        <v>11</v>
      </c>
      <c r="O18" s="7"/>
      <c r="Q18" s="20" t="s">
        <v>34</v>
      </c>
      <c r="R18" s="20" t="s">
        <v>12</v>
      </c>
      <c r="S18" s="20" t="s">
        <v>35</v>
      </c>
      <c r="T18" s="21">
        <v>0.2</v>
      </c>
      <c r="U18" s="22">
        <f>AVERAGE(H145:H148)</f>
        <v>95</v>
      </c>
      <c r="V18" s="20" t="s">
        <v>14</v>
      </c>
    </row>
    <row r="19">
      <c r="A19" s="20" t="s">
        <v>36</v>
      </c>
      <c r="B19" s="20" t="s">
        <v>6</v>
      </c>
      <c r="C19" s="20" t="s">
        <v>37</v>
      </c>
      <c r="D19" s="21">
        <v>0.3</v>
      </c>
      <c r="E19" s="22">
        <f>AVERAGE(H44:H48)</f>
        <v>62.08421456</v>
      </c>
      <c r="F19" s="20" t="s">
        <v>8</v>
      </c>
      <c r="G19" s="8"/>
      <c r="I19" s="20" t="s">
        <v>38</v>
      </c>
      <c r="J19" s="20" t="s">
        <v>9</v>
      </c>
      <c r="K19" s="20" t="s">
        <v>39</v>
      </c>
      <c r="L19" s="21">
        <v>0.15</v>
      </c>
      <c r="M19" s="22">
        <f>AVERAGE(H101:H104)</f>
        <v>70</v>
      </c>
      <c r="N19" s="23" t="s">
        <v>11</v>
      </c>
      <c r="O19" s="7"/>
      <c r="Q19" s="20" t="s">
        <v>40</v>
      </c>
      <c r="R19" s="20" t="s">
        <v>12</v>
      </c>
      <c r="S19" s="20" t="s">
        <v>41</v>
      </c>
      <c r="T19" s="21">
        <v>0.15</v>
      </c>
      <c r="U19" s="22">
        <f>AVERAGE(H154:H1570)</f>
        <v>91.53846154</v>
      </c>
      <c r="V19" s="20" t="s">
        <v>11</v>
      </c>
    </row>
    <row r="20">
      <c r="A20" s="20" t="s">
        <v>42</v>
      </c>
      <c r="B20" s="20" t="s">
        <v>6</v>
      </c>
      <c r="C20" s="20" t="s">
        <v>43</v>
      </c>
      <c r="D20" s="21">
        <v>0.25</v>
      </c>
      <c r="E20" s="22">
        <f>AVERAGE(H53:H57)</f>
        <v>100</v>
      </c>
      <c r="F20" s="20" t="s">
        <v>8</v>
      </c>
      <c r="G20" s="8"/>
      <c r="I20" s="20" t="s">
        <v>44</v>
      </c>
      <c r="J20" s="20" t="s">
        <v>9</v>
      </c>
      <c r="K20" s="20" t="s">
        <v>45</v>
      </c>
      <c r="L20" s="21">
        <v>0.15</v>
      </c>
      <c r="M20" s="22">
        <f>AVERAGE(H109:H112)</f>
        <v>76.66666667</v>
      </c>
      <c r="N20" s="23" t="s">
        <v>11</v>
      </c>
      <c r="O20" s="7"/>
      <c r="Q20" s="20" t="s">
        <v>46</v>
      </c>
      <c r="R20" s="20" t="s">
        <v>12</v>
      </c>
      <c r="S20" s="20" t="s">
        <v>47</v>
      </c>
      <c r="T20" s="21">
        <v>0.15</v>
      </c>
      <c r="U20" s="22">
        <f>AVERAGE(H163:H166)</f>
        <v>92.5</v>
      </c>
      <c r="V20" s="20" t="s">
        <v>14</v>
      </c>
    </row>
    <row r="21">
      <c r="A21" s="20" t="s">
        <v>48</v>
      </c>
      <c r="B21" s="20" t="s">
        <v>6</v>
      </c>
      <c r="C21" s="20" t="s">
        <v>49</v>
      </c>
      <c r="D21" s="21">
        <v>0.1</v>
      </c>
      <c r="E21" s="22">
        <f>AVERAGE(H62:H67)</f>
        <v>74.27849928</v>
      </c>
      <c r="F21" s="20" t="s">
        <v>8</v>
      </c>
      <c r="G21" s="8"/>
      <c r="I21" s="20" t="s">
        <v>50</v>
      </c>
      <c r="J21" s="20" t="s">
        <v>9</v>
      </c>
      <c r="K21" s="20" t="s">
        <v>51</v>
      </c>
      <c r="L21" s="21">
        <v>0.15</v>
      </c>
      <c r="M21" s="24">
        <f>AVERAGE(H118:H121)</f>
        <v>75</v>
      </c>
      <c r="N21" s="23" t="s">
        <v>11</v>
      </c>
      <c r="O21" s="7"/>
      <c r="Q21" s="20" t="s">
        <v>52</v>
      </c>
      <c r="R21" s="20" t="s">
        <v>12</v>
      </c>
      <c r="S21" s="20" t="s">
        <v>53</v>
      </c>
      <c r="T21" s="21">
        <v>0.15</v>
      </c>
      <c r="U21" s="22">
        <f>AVERAGE(H172:H175)</f>
        <v>95</v>
      </c>
      <c r="V21" s="20" t="s">
        <v>14</v>
      </c>
    </row>
    <row r="22">
      <c r="A22" s="20" t="s">
        <v>54</v>
      </c>
      <c r="B22" s="20" t="s">
        <v>6</v>
      </c>
      <c r="C22" s="20" t="s">
        <v>55</v>
      </c>
      <c r="D22" s="21">
        <v>0.1</v>
      </c>
      <c r="E22" s="22">
        <f>AVERAGE(H73:H77)</f>
        <v>57.48066719</v>
      </c>
      <c r="F22" s="20" t="s">
        <v>8</v>
      </c>
      <c r="G22" s="8"/>
      <c r="I22" s="20" t="s">
        <v>56</v>
      </c>
      <c r="J22" s="20" t="s">
        <v>9</v>
      </c>
      <c r="K22" s="20" t="s">
        <v>57</v>
      </c>
      <c r="L22" s="21">
        <v>0.15</v>
      </c>
      <c r="M22" s="22">
        <f>AVERAGE(H127:H130)</f>
        <v>90</v>
      </c>
      <c r="N22" s="23" t="s">
        <v>11</v>
      </c>
      <c r="O22" s="7"/>
      <c r="Q22" s="20" t="s">
        <v>58</v>
      </c>
      <c r="R22" s="20" t="s">
        <v>12</v>
      </c>
      <c r="S22" s="20" t="s">
        <v>59</v>
      </c>
      <c r="T22" s="21">
        <v>0.1</v>
      </c>
      <c r="U22" s="22">
        <f>AVERAGE(H181:H184)</f>
        <v>90</v>
      </c>
      <c r="V22" s="20" t="s">
        <v>11</v>
      </c>
    </row>
    <row r="23">
      <c r="A23" s="25" t="s">
        <v>60</v>
      </c>
      <c r="B23" s="25" t="s">
        <v>6</v>
      </c>
      <c r="C23" s="25" t="s">
        <v>61</v>
      </c>
      <c r="D23" s="26">
        <v>1.0</v>
      </c>
      <c r="E23" s="27">
        <f>SUMPRODUCT(D18:D22,E18:E22)</f>
        <v>76.40102561</v>
      </c>
      <c r="F23" s="25" t="s">
        <v>8</v>
      </c>
      <c r="G23" s="8"/>
      <c r="I23" s="25" t="s">
        <v>62</v>
      </c>
      <c r="J23" s="25" t="s">
        <v>9</v>
      </c>
      <c r="K23" s="25" t="s">
        <v>63</v>
      </c>
      <c r="L23" s="26">
        <v>1.0</v>
      </c>
      <c r="M23" s="27">
        <f>SUMPRODUCT(L17:L22,M17:M22)</f>
        <v>77.085</v>
      </c>
      <c r="N23" s="28" t="s">
        <v>11</v>
      </c>
      <c r="O23" s="7"/>
      <c r="Q23" s="25" t="s">
        <v>64</v>
      </c>
      <c r="R23" s="25" t="s">
        <v>12</v>
      </c>
      <c r="S23" s="25" t="s">
        <v>65</v>
      </c>
      <c r="T23" s="26">
        <v>1.0</v>
      </c>
      <c r="U23" s="27">
        <f>SUMPRODUCT(T17:T22,U17:U22)</f>
        <v>94.85576923</v>
      </c>
      <c r="V23" s="25" t="s">
        <v>14</v>
      </c>
    </row>
    <row r="24">
      <c r="Q24" s="25"/>
      <c r="R24" s="25"/>
      <c r="S24" s="25"/>
      <c r="T24" s="26"/>
      <c r="U24" s="27"/>
      <c r="V24" s="25"/>
    </row>
    <row r="27">
      <c r="A27" s="29" t="s">
        <v>66</v>
      </c>
      <c r="E27" s="2"/>
      <c r="F27" s="2"/>
      <c r="G27" s="2"/>
      <c r="H27" s="2"/>
      <c r="I27" s="2"/>
      <c r="J27" s="2"/>
      <c r="Q27" s="30" t="s">
        <v>67</v>
      </c>
      <c r="R27" s="2"/>
      <c r="S27" s="2"/>
      <c r="T27" s="2"/>
      <c r="U27" s="2"/>
      <c r="V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Q28" s="18" t="s">
        <v>23</v>
      </c>
      <c r="R28" s="18" t="s">
        <v>1</v>
      </c>
      <c r="S28" s="18" t="s">
        <v>24</v>
      </c>
      <c r="T28" s="18" t="s">
        <v>3</v>
      </c>
      <c r="U28" s="18" t="s">
        <v>4</v>
      </c>
      <c r="V28" s="18" t="s">
        <v>5</v>
      </c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Q29" s="20" t="s">
        <v>68</v>
      </c>
      <c r="R29" s="20" t="s">
        <v>15</v>
      </c>
      <c r="S29" s="20" t="s">
        <v>69</v>
      </c>
      <c r="T29" s="21">
        <v>0.25</v>
      </c>
      <c r="U29" s="22">
        <f>AVERAGE(H190:H193)</f>
        <v>100</v>
      </c>
      <c r="V29" s="20" t="s">
        <v>11</v>
      </c>
    </row>
    <row r="30">
      <c r="A30" s="14" t="s">
        <v>70</v>
      </c>
      <c r="F30" s="2"/>
      <c r="G30" s="2"/>
      <c r="H30" s="2"/>
      <c r="I30" s="2"/>
      <c r="J30" s="2"/>
      <c r="Q30" s="20" t="s">
        <v>71</v>
      </c>
      <c r="R30" s="20" t="s">
        <v>15</v>
      </c>
      <c r="S30" s="20" t="s">
        <v>72</v>
      </c>
      <c r="T30" s="21">
        <v>0.2</v>
      </c>
      <c r="U30" s="22">
        <f>AVERAGE(H199:H202)</f>
        <v>100</v>
      </c>
      <c r="V30" s="20" t="s">
        <v>11</v>
      </c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Q31" s="20" t="s">
        <v>73</v>
      </c>
      <c r="R31" s="20" t="s">
        <v>15</v>
      </c>
      <c r="S31" s="20" t="s">
        <v>57</v>
      </c>
      <c r="T31" s="21">
        <v>0.2</v>
      </c>
      <c r="U31" s="22">
        <f>AVERAGE(H208:H211)</f>
        <v>100</v>
      </c>
      <c r="V31" s="20" t="s">
        <v>11</v>
      </c>
    </row>
    <row r="32">
      <c r="A32" s="31" t="s">
        <v>74</v>
      </c>
      <c r="B32" s="31" t="s">
        <v>23</v>
      </c>
      <c r="C32" s="31" t="s">
        <v>75</v>
      </c>
      <c r="D32" s="31" t="s">
        <v>76</v>
      </c>
      <c r="E32" s="31" t="s">
        <v>77</v>
      </c>
      <c r="F32" s="31" t="s">
        <v>78</v>
      </c>
      <c r="G32" s="31" t="s">
        <v>79</v>
      </c>
      <c r="H32" s="31" t="s">
        <v>4</v>
      </c>
      <c r="I32" s="31" t="s">
        <v>80</v>
      </c>
      <c r="J32" s="31" t="s">
        <v>81</v>
      </c>
      <c r="Q32" s="20" t="s">
        <v>82</v>
      </c>
      <c r="R32" s="20" t="s">
        <v>15</v>
      </c>
      <c r="S32" s="20" t="s">
        <v>83</v>
      </c>
      <c r="T32" s="21">
        <v>0.15</v>
      </c>
      <c r="U32" s="22">
        <f>AVERAGE(H217:H220)</f>
        <v>100</v>
      </c>
      <c r="V32" s="20" t="s">
        <v>14</v>
      </c>
    </row>
    <row r="33">
      <c r="A33" s="25" t="s">
        <v>84</v>
      </c>
      <c r="B33" s="20" t="s">
        <v>30</v>
      </c>
      <c r="C33" s="20" t="s">
        <v>85</v>
      </c>
      <c r="D33" s="22">
        <v>400.0</v>
      </c>
      <c r="E33" s="20" t="s">
        <v>86</v>
      </c>
      <c r="F33" s="20" t="s">
        <v>87</v>
      </c>
      <c r="G33" s="22">
        <v>200.0</v>
      </c>
      <c r="H33" s="22">
        <f t="shared" ref="H33:H38" si="1">(G33/D33)*100</f>
        <v>50</v>
      </c>
      <c r="I33" s="20" t="s">
        <v>88</v>
      </c>
      <c r="J33" s="20" t="s">
        <v>89</v>
      </c>
      <c r="Q33" s="20" t="s">
        <v>90</v>
      </c>
      <c r="R33" s="20" t="s">
        <v>15</v>
      </c>
      <c r="S33" s="20" t="s">
        <v>91</v>
      </c>
      <c r="T33" s="21">
        <v>0.1</v>
      </c>
      <c r="U33" s="22">
        <f>AVERAGE(H226:H229)</f>
        <v>100</v>
      </c>
      <c r="V33" s="20" t="s">
        <v>14</v>
      </c>
    </row>
    <row r="34">
      <c r="A34" s="25" t="s">
        <v>92</v>
      </c>
      <c r="B34" s="20" t="s">
        <v>30</v>
      </c>
      <c r="C34" s="20" t="s">
        <v>93</v>
      </c>
      <c r="D34" s="24">
        <v>300.0</v>
      </c>
      <c r="E34" s="20" t="s">
        <v>86</v>
      </c>
      <c r="F34" s="20" t="s">
        <v>87</v>
      </c>
      <c r="G34" s="22">
        <v>300.0</v>
      </c>
      <c r="H34" s="22">
        <f t="shared" si="1"/>
        <v>100</v>
      </c>
      <c r="I34" s="20" t="s">
        <v>94</v>
      </c>
      <c r="J34" s="20" t="s">
        <v>95</v>
      </c>
      <c r="Q34" s="20" t="s">
        <v>96</v>
      </c>
      <c r="R34" s="20" t="s">
        <v>15</v>
      </c>
      <c r="S34" s="20" t="s">
        <v>97</v>
      </c>
      <c r="T34" s="21">
        <v>0.1</v>
      </c>
      <c r="U34" s="22">
        <f>AVERAGE(H235:H2380)</f>
        <v>65</v>
      </c>
      <c r="V34" s="20" t="s">
        <v>8</v>
      </c>
    </row>
    <row r="35">
      <c r="A35" s="25" t="s">
        <v>98</v>
      </c>
      <c r="B35" s="20" t="s">
        <v>30</v>
      </c>
      <c r="C35" s="20" t="s">
        <v>99</v>
      </c>
      <c r="D35" s="24">
        <v>220.0</v>
      </c>
      <c r="E35" s="20" t="s">
        <v>86</v>
      </c>
      <c r="F35" s="20" t="s">
        <v>87</v>
      </c>
      <c r="G35" s="22">
        <v>200.0</v>
      </c>
      <c r="H35" s="22">
        <f t="shared" si="1"/>
        <v>90.90909091</v>
      </c>
      <c r="I35" s="20" t="s">
        <v>88</v>
      </c>
      <c r="J35" s="20" t="s">
        <v>95</v>
      </c>
      <c r="Q35" s="25" t="s">
        <v>100</v>
      </c>
      <c r="R35" s="25" t="s">
        <v>15</v>
      </c>
      <c r="S35" s="25" t="s">
        <v>101</v>
      </c>
      <c r="T35" s="26">
        <v>1.0</v>
      </c>
      <c r="U35" s="27">
        <f>SUMPRODUCT(T29:T34,U29:U34)</f>
        <v>96.5</v>
      </c>
      <c r="V35" s="25" t="s">
        <v>11</v>
      </c>
    </row>
    <row r="36">
      <c r="A36" s="25" t="s">
        <v>102</v>
      </c>
      <c r="B36" s="20" t="s">
        <v>30</v>
      </c>
      <c r="C36" s="20" t="s">
        <v>103</v>
      </c>
      <c r="D36" s="22">
        <v>520.0</v>
      </c>
      <c r="E36" s="20" t="s">
        <v>86</v>
      </c>
      <c r="F36" s="20" t="s">
        <v>87</v>
      </c>
      <c r="G36" s="22">
        <v>500.0</v>
      </c>
      <c r="H36" s="22">
        <f t="shared" si="1"/>
        <v>96.15384615</v>
      </c>
      <c r="I36" s="20" t="s">
        <v>104</v>
      </c>
      <c r="J36" s="20" t="s">
        <v>89</v>
      </c>
    </row>
    <row r="37">
      <c r="A37" s="25" t="s">
        <v>105</v>
      </c>
      <c r="B37" s="20" t="s">
        <v>30</v>
      </c>
      <c r="C37" s="20" t="s">
        <v>106</v>
      </c>
      <c r="D37" s="24">
        <v>350.0</v>
      </c>
      <c r="E37" s="20" t="s">
        <v>86</v>
      </c>
      <c r="F37" s="20" t="s">
        <v>87</v>
      </c>
      <c r="G37" s="22">
        <v>300.0</v>
      </c>
      <c r="H37" s="22">
        <f t="shared" si="1"/>
        <v>85.71428571</v>
      </c>
      <c r="I37" s="20" t="s">
        <v>94</v>
      </c>
      <c r="J37" s="20" t="s">
        <v>95</v>
      </c>
    </row>
    <row r="38">
      <c r="A38" s="25" t="s">
        <v>107</v>
      </c>
      <c r="B38" s="20" t="s">
        <v>30</v>
      </c>
      <c r="C38" s="20" t="s">
        <v>108</v>
      </c>
      <c r="D38" s="24">
        <v>210.0</v>
      </c>
      <c r="E38" s="20" t="s">
        <v>86</v>
      </c>
      <c r="F38" s="20" t="s">
        <v>87</v>
      </c>
      <c r="G38" s="22">
        <v>100.0</v>
      </c>
      <c r="H38" s="22">
        <f t="shared" si="1"/>
        <v>47.61904762</v>
      </c>
      <c r="I38" s="20" t="s">
        <v>109</v>
      </c>
      <c r="J38" s="20" t="s">
        <v>89</v>
      </c>
    </row>
    <row r="41">
      <c r="A41" s="14" t="s">
        <v>110</v>
      </c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31" t="s">
        <v>74</v>
      </c>
      <c r="B43" s="31" t="s">
        <v>23</v>
      </c>
      <c r="C43" s="31" t="s">
        <v>75</v>
      </c>
      <c r="D43" s="31" t="s">
        <v>76</v>
      </c>
      <c r="E43" s="31" t="s">
        <v>77</v>
      </c>
      <c r="F43" s="31" t="s">
        <v>78</v>
      </c>
      <c r="G43" s="31" t="s">
        <v>79</v>
      </c>
      <c r="H43" s="31" t="s">
        <v>4</v>
      </c>
      <c r="I43" s="31" t="s">
        <v>80</v>
      </c>
      <c r="J43" s="31" t="s">
        <v>81</v>
      </c>
    </row>
    <row r="44">
      <c r="A44" s="25" t="s">
        <v>111</v>
      </c>
      <c r="B44" s="20" t="s">
        <v>36</v>
      </c>
      <c r="C44" s="20" t="s">
        <v>112</v>
      </c>
      <c r="D44" s="22">
        <v>380.0</v>
      </c>
      <c r="E44" s="20" t="s">
        <v>86</v>
      </c>
      <c r="F44" s="20" t="s">
        <v>87</v>
      </c>
      <c r="G44" s="22">
        <v>200.0</v>
      </c>
      <c r="H44" s="22">
        <v>52.6</v>
      </c>
      <c r="I44" s="20" t="s">
        <v>88</v>
      </c>
      <c r="J44" s="20" t="s">
        <v>89</v>
      </c>
    </row>
    <row r="45">
      <c r="A45" s="25" t="s">
        <v>113</v>
      </c>
      <c r="B45" s="20" t="s">
        <v>36</v>
      </c>
      <c r="C45" s="20" t="s">
        <v>114</v>
      </c>
      <c r="D45" s="22">
        <v>6.0</v>
      </c>
      <c r="E45" s="20" t="s">
        <v>115</v>
      </c>
      <c r="F45" s="20" t="s">
        <v>116</v>
      </c>
      <c r="G45" s="22">
        <v>0.0</v>
      </c>
      <c r="H45" s="22">
        <v>33.3</v>
      </c>
      <c r="I45" s="22">
        <v>0.0</v>
      </c>
      <c r="J45" s="20" t="s">
        <v>89</v>
      </c>
    </row>
    <row r="46">
      <c r="A46" s="25" t="s">
        <v>117</v>
      </c>
      <c r="B46" s="20" t="s">
        <v>36</v>
      </c>
      <c r="C46" s="20" t="s">
        <v>118</v>
      </c>
      <c r="D46" s="22">
        <v>290.0</v>
      </c>
      <c r="E46" s="20" t="s">
        <v>86</v>
      </c>
      <c r="F46" s="20" t="s">
        <v>87</v>
      </c>
      <c r="G46" s="22">
        <v>200.0</v>
      </c>
      <c r="H46" s="22">
        <f t="shared" ref="H46:H48" si="2">(G46/D46)*100</f>
        <v>68.96551724</v>
      </c>
      <c r="I46" s="20" t="s">
        <v>88</v>
      </c>
      <c r="J46" s="20" t="s">
        <v>89</v>
      </c>
    </row>
    <row r="47">
      <c r="A47" s="25" t="s">
        <v>119</v>
      </c>
      <c r="B47" s="20" t="s">
        <v>36</v>
      </c>
      <c r="C47" s="20" t="s">
        <v>120</v>
      </c>
      <c r="D47" s="22">
        <v>180.0</v>
      </c>
      <c r="E47" s="20" t="s">
        <v>86</v>
      </c>
      <c r="F47" s="20" t="s">
        <v>87</v>
      </c>
      <c r="G47" s="22">
        <v>100.0</v>
      </c>
      <c r="H47" s="22">
        <f t="shared" si="2"/>
        <v>55.55555556</v>
      </c>
      <c r="I47" s="20" t="s">
        <v>109</v>
      </c>
      <c r="J47" s="20" t="s">
        <v>89</v>
      </c>
    </row>
    <row r="48">
      <c r="A48" s="25" t="s">
        <v>121</v>
      </c>
      <c r="B48" s="20" t="s">
        <v>36</v>
      </c>
      <c r="C48" s="20" t="s">
        <v>122</v>
      </c>
      <c r="D48" s="24">
        <v>100.0</v>
      </c>
      <c r="E48" s="20" t="s">
        <v>86</v>
      </c>
      <c r="F48" s="20" t="s">
        <v>87</v>
      </c>
      <c r="G48" s="22">
        <v>100.0</v>
      </c>
      <c r="H48" s="22">
        <f t="shared" si="2"/>
        <v>100</v>
      </c>
      <c r="I48" s="20" t="s">
        <v>109</v>
      </c>
      <c r="J48" s="20" t="s">
        <v>95</v>
      </c>
    </row>
    <row r="51">
      <c r="A51" s="14" t="s">
        <v>123</v>
      </c>
      <c r="B51" s="2"/>
      <c r="C51" s="2"/>
      <c r="D51" s="2"/>
      <c r="E51" s="2"/>
      <c r="F51" s="2"/>
      <c r="G51" s="2"/>
      <c r="H51" s="2"/>
      <c r="I51" s="2"/>
      <c r="J51" s="2"/>
    </row>
    <row r="52">
      <c r="A52" s="31" t="s">
        <v>74</v>
      </c>
      <c r="B52" s="31" t="s">
        <v>23</v>
      </c>
      <c r="C52" s="31" t="s">
        <v>75</v>
      </c>
      <c r="D52" s="31" t="s">
        <v>76</v>
      </c>
      <c r="E52" s="31" t="s">
        <v>77</v>
      </c>
      <c r="F52" s="31" t="s">
        <v>78</v>
      </c>
      <c r="G52" s="31" t="s">
        <v>79</v>
      </c>
      <c r="H52" s="31" t="s">
        <v>4</v>
      </c>
      <c r="I52" s="31" t="s">
        <v>80</v>
      </c>
      <c r="J52" s="31" t="s">
        <v>81</v>
      </c>
    </row>
    <row r="53">
      <c r="A53" s="32" t="s">
        <v>124</v>
      </c>
      <c r="B53" s="8" t="s">
        <v>42</v>
      </c>
      <c r="C53" s="8" t="s">
        <v>125</v>
      </c>
      <c r="D53" s="10">
        <v>0.0</v>
      </c>
      <c r="E53" s="8" t="s">
        <v>115</v>
      </c>
      <c r="F53" s="8" t="s">
        <v>116</v>
      </c>
      <c r="G53" s="10">
        <v>0.0</v>
      </c>
      <c r="H53" s="10">
        <f t="shared" ref="H53:H57" si="3">IF(D53&lt;=G53, 100, MAX(0, 100 - (D53 * 10)))</f>
        <v>100</v>
      </c>
      <c r="I53" s="10">
        <v>0.0</v>
      </c>
      <c r="J53" s="8" t="s">
        <v>126</v>
      </c>
    </row>
    <row r="54">
      <c r="A54" s="32" t="s">
        <v>127</v>
      </c>
      <c r="B54" s="8" t="s">
        <v>42</v>
      </c>
      <c r="C54" s="8" t="s">
        <v>128</v>
      </c>
      <c r="D54" s="10">
        <v>0.0</v>
      </c>
      <c r="E54" s="8" t="s">
        <v>115</v>
      </c>
      <c r="F54" s="8" t="s">
        <v>116</v>
      </c>
      <c r="G54" s="10">
        <v>0.0</v>
      </c>
      <c r="H54" s="10">
        <f t="shared" si="3"/>
        <v>100</v>
      </c>
      <c r="I54" s="10">
        <v>0.0</v>
      </c>
      <c r="J54" s="8" t="s">
        <v>126</v>
      </c>
    </row>
    <row r="55">
      <c r="A55" s="32" t="s">
        <v>129</v>
      </c>
      <c r="B55" s="8" t="s">
        <v>42</v>
      </c>
      <c r="C55" s="8" t="s">
        <v>130</v>
      </c>
      <c r="D55" s="10">
        <v>0.0</v>
      </c>
      <c r="E55" s="8" t="s">
        <v>115</v>
      </c>
      <c r="F55" s="8" t="s">
        <v>116</v>
      </c>
      <c r="G55" s="10">
        <v>0.0</v>
      </c>
      <c r="H55" s="10">
        <f t="shared" si="3"/>
        <v>100</v>
      </c>
      <c r="I55" s="10">
        <v>0.0</v>
      </c>
      <c r="J55" s="8" t="s">
        <v>126</v>
      </c>
    </row>
    <row r="56">
      <c r="A56" s="32" t="s">
        <v>131</v>
      </c>
      <c r="B56" s="8" t="s">
        <v>42</v>
      </c>
      <c r="C56" s="8" t="s">
        <v>132</v>
      </c>
      <c r="D56" s="10">
        <v>0.0</v>
      </c>
      <c r="E56" s="8" t="s">
        <v>115</v>
      </c>
      <c r="F56" s="8" t="s">
        <v>116</v>
      </c>
      <c r="G56" s="10">
        <v>0.0</v>
      </c>
      <c r="H56" s="10">
        <f t="shared" si="3"/>
        <v>100</v>
      </c>
      <c r="I56" s="10">
        <v>0.0</v>
      </c>
      <c r="J56" s="8" t="s">
        <v>126</v>
      </c>
    </row>
    <row r="57">
      <c r="A57" s="32" t="s">
        <v>133</v>
      </c>
      <c r="B57" s="8" t="s">
        <v>42</v>
      </c>
      <c r="C57" s="8" t="s">
        <v>134</v>
      </c>
      <c r="D57" s="10">
        <v>0.0</v>
      </c>
      <c r="E57" s="8" t="s">
        <v>115</v>
      </c>
      <c r="F57" s="8" t="s">
        <v>116</v>
      </c>
      <c r="G57" s="10">
        <v>0.0</v>
      </c>
      <c r="H57" s="10">
        <f t="shared" si="3"/>
        <v>100</v>
      </c>
      <c r="I57" s="10">
        <v>0.0</v>
      </c>
      <c r="J57" s="8" t="s">
        <v>126</v>
      </c>
    </row>
    <row r="60">
      <c r="A60" s="14" t="s">
        <v>135</v>
      </c>
      <c r="B60" s="2"/>
      <c r="C60" s="2"/>
      <c r="D60" s="2"/>
      <c r="E60" s="2"/>
      <c r="F60" s="2"/>
      <c r="G60" s="2"/>
      <c r="H60" s="2"/>
      <c r="I60" s="2"/>
      <c r="J60" s="2"/>
    </row>
    <row r="61">
      <c r="A61" s="31" t="s">
        <v>74</v>
      </c>
      <c r="B61" s="31" t="s">
        <v>23</v>
      </c>
      <c r="C61" s="31" t="s">
        <v>75</v>
      </c>
      <c r="D61" s="31" t="s">
        <v>76</v>
      </c>
      <c r="E61" s="31" t="s">
        <v>77</v>
      </c>
      <c r="F61" s="31" t="s">
        <v>78</v>
      </c>
      <c r="G61" s="31" t="s">
        <v>79</v>
      </c>
      <c r="H61" s="31" t="s">
        <v>4</v>
      </c>
      <c r="I61" s="31" t="s">
        <v>80</v>
      </c>
      <c r="J61" s="31" t="s">
        <v>81</v>
      </c>
    </row>
    <row r="62">
      <c r="A62" s="25" t="s">
        <v>136</v>
      </c>
      <c r="B62" s="20" t="s">
        <v>48</v>
      </c>
      <c r="C62" s="20" t="s">
        <v>137</v>
      </c>
      <c r="D62" s="24">
        <v>150.0</v>
      </c>
      <c r="E62" s="20" t="s">
        <v>86</v>
      </c>
      <c r="F62" s="20" t="s">
        <v>87</v>
      </c>
      <c r="G62" s="22">
        <v>50.0</v>
      </c>
      <c r="H62" s="22">
        <f t="shared" ref="H62:H67" si="4">(G62/D62)*100</f>
        <v>33.33333333</v>
      </c>
      <c r="I62" s="20" t="s">
        <v>138</v>
      </c>
      <c r="J62" s="20" t="s">
        <v>95</v>
      </c>
    </row>
    <row r="63">
      <c r="A63" s="25" t="s">
        <v>139</v>
      </c>
      <c r="B63" s="20" t="s">
        <v>48</v>
      </c>
      <c r="C63" s="20" t="s">
        <v>140</v>
      </c>
      <c r="D63" s="24">
        <v>100.0</v>
      </c>
      <c r="E63" s="20" t="s">
        <v>86</v>
      </c>
      <c r="F63" s="20" t="s">
        <v>87</v>
      </c>
      <c r="G63" s="22">
        <v>100.0</v>
      </c>
      <c r="H63" s="22">
        <f t="shared" si="4"/>
        <v>100</v>
      </c>
      <c r="I63" s="20" t="s">
        <v>109</v>
      </c>
      <c r="J63" s="20" t="s">
        <v>95</v>
      </c>
    </row>
    <row r="64">
      <c r="A64" s="25" t="s">
        <v>141</v>
      </c>
      <c r="B64" s="20" t="s">
        <v>48</v>
      </c>
      <c r="C64" s="20" t="s">
        <v>142</v>
      </c>
      <c r="D64" s="24">
        <v>100.0</v>
      </c>
      <c r="E64" s="20" t="s">
        <v>86</v>
      </c>
      <c r="F64" s="20" t="s">
        <v>87</v>
      </c>
      <c r="G64" s="22">
        <v>100.0</v>
      </c>
      <c r="H64" s="22">
        <f t="shared" si="4"/>
        <v>100</v>
      </c>
      <c r="I64" s="20" t="s">
        <v>109</v>
      </c>
      <c r="J64" s="20" t="s">
        <v>95</v>
      </c>
    </row>
    <row r="65">
      <c r="A65" s="25" t="s">
        <v>143</v>
      </c>
      <c r="B65" s="20" t="s">
        <v>48</v>
      </c>
      <c r="C65" s="20" t="s">
        <v>85</v>
      </c>
      <c r="D65" s="22">
        <v>400.0</v>
      </c>
      <c r="E65" s="20" t="s">
        <v>86</v>
      </c>
      <c r="F65" s="20" t="s">
        <v>87</v>
      </c>
      <c r="G65" s="22">
        <v>200.0</v>
      </c>
      <c r="H65" s="22">
        <f t="shared" si="4"/>
        <v>50</v>
      </c>
      <c r="I65" s="20" t="s">
        <v>88</v>
      </c>
      <c r="J65" s="20" t="s">
        <v>89</v>
      </c>
    </row>
    <row r="66">
      <c r="A66" s="25" t="s">
        <v>144</v>
      </c>
      <c r="B66" s="20" t="s">
        <v>48</v>
      </c>
      <c r="C66" s="20" t="s">
        <v>145</v>
      </c>
      <c r="D66" s="22">
        <v>220.0</v>
      </c>
      <c r="E66" s="20" t="s">
        <v>86</v>
      </c>
      <c r="F66" s="20" t="s">
        <v>87</v>
      </c>
      <c r="G66" s="22">
        <v>200.0</v>
      </c>
      <c r="H66" s="22">
        <f t="shared" si="4"/>
        <v>90.90909091</v>
      </c>
      <c r="I66" s="20" t="s">
        <v>88</v>
      </c>
      <c r="J66" s="20" t="s">
        <v>89</v>
      </c>
    </row>
    <row r="67">
      <c r="A67" s="25" t="s">
        <v>146</v>
      </c>
      <c r="B67" s="20" t="s">
        <v>48</v>
      </c>
      <c r="C67" s="20" t="s">
        <v>147</v>
      </c>
      <c r="D67" s="24">
        <v>700.0</v>
      </c>
      <c r="E67" s="20" t="s">
        <v>86</v>
      </c>
      <c r="F67" s="20" t="s">
        <v>87</v>
      </c>
      <c r="G67" s="22">
        <v>500.0</v>
      </c>
      <c r="H67" s="22">
        <f t="shared" si="4"/>
        <v>71.42857143</v>
      </c>
      <c r="I67" s="20" t="s">
        <v>104</v>
      </c>
      <c r="J67" s="20" t="s">
        <v>95</v>
      </c>
    </row>
    <row r="70">
      <c r="A70" s="33" t="s">
        <v>148</v>
      </c>
    </row>
    <row r="72">
      <c r="A72" s="34" t="s">
        <v>74</v>
      </c>
      <c r="B72" s="34" t="s">
        <v>23</v>
      </c>
      <c r="C72" s="34" t="s">
        <v>75</v>
      </c>
      <c r="D72" s="34" t="s">
        <v>76</v>
      </c>
      <c r="E72" s="34" t="s">
        <v>77</v>
      </c>
      <c r="F72" s="34" t="s">
        <v>78</v>
      </c>
      <c r="G72" s="34" t="s">
        <v>79</v>
      </c>
      <c r="H72" s="34" t="s">
        <v>4</v>
      </c>
      <c r="I72" s="34" t="s">
        <v>80</v>
      </c>
      <c r="J72" s="34" t="s">
        <v>81</v>
      </c>
    </row>
    <row r="73">
      <c r="A73" s="35" t="s">
        <v>149</v>
      </c>
      <c r="B73" s="36" t="s">
        <v>54</v>
      </c>
      <c r="C73" s="36" t="s">
        <v>150</v>
      </c>
      <c r="D73" s="36">
        <v>1250.0</v>
      </c>
      <c r="E73" s="36" t="s">
        <v>86</v>
      </c>
      <c r="F73" s="36" t="s">
        <v>87</v>
      </c>
      <c r="G73" s="36">
        <v>800.0</v>
      </c>
      <c r="H73" s="36">
        <f t="shared" ref="H73:H77" si="5">(G73/D73)*100</f>
        <v>64</v>
      </c>
      <c r="I73" s="36" t="s">
        <v>151</v>
      </c>
      <c r="J73" s="36" t="s">
        <v>89</v>
      </c>
    </row>
    <row r="74">
      <c r="A74" s="35" t="s">
        <v>152</v>
      </c>
      <c r="B74" s="36" t="s">
        <v>54</v>
      </c>
      <c r="C74" s="36" t="s">
        <v>153</v>
      </c>
      <c r="D74" s="36">
        <v>420.0</v>
      </c>
      <c r="E74" s="36" t="s">
        <v>86</v>
      </c>
      <c r="F74" s="36" t="s">
        <v>87</v>
      </c>
      <c r="G74" s="36">
        <v>200.0</v>
      </c>
      <c r="H74" s="36">
        <f t="shared" si="5"/>
        <v>47.61904762</v>
      </c>
      <c r="I74" s="36" t="s">
        <v>88</v>
      </c>
      <c r="J74" s="36" t="s">
        <v>89</v>
      </c>
    </row>
    <row r="75">
      <c r="A75" s="35" t="s">
        <v>154</v>
      </c>
      <c r="B75" s="36" t="s">
        <v>54</v>
      </c>
      <c r="C75" s="36" t="s">
        <v>155</v>
      </c>
      <c r="D75" s="36">
        <v>580.0</v>
      </c>
      <c r="E75" s="36" t="s">
        <v>86</v>
      </c>
      <c r="F75" s="36" t="s">
        <v>87</v>
      </c>
      <c r="G75" s="36">
        <v>300.0</v>
      </c>
      <c r="H75" s="36">
        <f t="shared" si="5"/>
        <v>51.72413793</v>
      </c>
      <c r="I75" s="36" t="s">
        <v>94</v>
      </c>
      <c r="J75" s="36" t="s">
        <v>89</v>
      </c>
    </row>
    <row r="76">
      <c r="A76" s="35" t="s">
        <v>156</v>
      </c>
      <c r="B76" s="36" t="s">
        <v>54</v>
      </c>
      <c r="C76" s="36" t="s">
        <v>157</v>
      </c>
      <c r="D76" s="36">
        <v>380.0</v>
      </c>
      <c r="E76" s="36" t="s">
        <v>86</v>
      </c>
      <c r="F76" s="36" t="s">
        <v>87</v>
      </c>
      <c r="G76" s="36">
        <v>200.0</v>
      </c>
      <c r="H76" s="36">
        <f t="shared" si="5"/>
        <v>52.63157895</v>
      </c>
      <c r="I76" s="36" t="s">
        <v>88</v>
      </c>
      <c r="J76" s="36" t="s">
        <v>89</v>
      </c>
    </row>
    <row r="77">
      <c r="A77" s="35" t="s">
        <v>158</v>
      </c>
      <c r="B77" s="36" t="s">
        <v>54</v>
      </c>
      <c r="C77" s="36" t="s">
        <v>159</v>
      </c>
      <c r="D77" s="36">
        <v>2800.0</v>
      </c>
      <c r="E77" s="36" t="s">
        <v>86</v>
      </c>
      <c r="F77" s="36" t="s">
        <v>87</v>
      </c>
      <c r="G77" s="36">
        <v>2000.0</v>
      </c>
      <c r="H77" s="36">
        <f t="shared" si="5"/>
        <v>71.42857143</v>
      </c>
      <c r="I77" s="36" t="s">
        <v>160</v>
      </c>
      <c r="J77" s="36" t="s">
        <v>89</v>
      </c>
    </row>
    <row r="80">
      <c r="A80" s="37" t="s">
        <v>161</v>
      </c>
    </row>
    <row r="82">
      <c r="A82" s="38" t="s">
        <v>74</v>
      </c>
      <c r="B82" s="38" t="s">
        <v>23</v>
      </c>
      <c r="C82" s="38" t="s">
        <v>75</v>
      </c>
      <c r="D82" s="38" t="s">
        <v>76</v>
      </c>
      <c r="E82" s="38" t="s">
        <v>77</v>
      </c>
      <c r="F82" s="38" t="s">
        <v>78</v>
      </c>
      <c r="G82" s="38" t="s">
        <v>79</v>
      </c>
      <c r="H82" s="38" t="s">
        <v>4</v>
      </c>
      <c r="I82" s="38" t="s">
        <v>80</v>
      </c>
      <c r="J82" s="38" t="s">
        <v>81</v>
      </c>
    </row>
    <row r="83">
      <c r="A83" s="35" t="s">
        <v>162</v>
      </c>
      <c r="B83" s="36" t="s">
        <v>26</v>
      </c>
      <c r="C83" s="36" t="s">
        <v>163</v>
      </c>
      <c r="D83" s="36">
        <v>3.9</v>
      </c>
      <c r="E83" s="36" t="s">
        <v>164</v>
      </c>
      <c r="F83" s="36" t="s">
        <v>165</v>
      </c>
      <c r="G83" s="36">
        <v>4.5</v>
      </c>
      <c r="H83" s="36">
        <f t="shared" ref="H83:H86" si="6">IFS(F83="Reference", "-", F83="Zero", MAX(0, 100 - (D83 * 10)), F83="Higher", MIN(100, ROUND((D83 / G83) * 100, 1)))</f>
        <v>86.7</v>
      </c>
      <c r="I83" s="36" t="s">
        <v>166</v>
      </c>
      <c r="J83" s="36" t="s">
        <v>89</v>
      </c>
    </row>
    <row r="84">
      <c r="A84" s="35" t="s">
        <v>167</v>
      </c>
      <c r="B84" s="36" t="s">
        <v>26</v>
      </c>
      <c r="C84" s="36" t="s">
        <v>168</v>
      </c>
      <c r="D84" s="36">
        <v>4.0</v>
      </c>
      <c r="E84" s="36" t="s">
        <v>115</v>
      </c>
      <c r="F84" s="36" t="s">
        <v>116</v>
      </c>
      <c r="G84" s="36">
        <v>0.0</v>
      </c>
      <c r="H84" s="36">
        <f t="shared" si="6"/>
        <v>60</v>
      </c>
      <c r="I84" s="36">
        <v>0.0</v>
      </c>
      <c r="J84" s="36" t="s">
        <v>89</v>
      </c>
    </row>
    <row r="85">
      <c r="A85" s="35" t="s">
        <v>169</v>
      </c>
      <c r="B85" s="36" t="s">
        <v>26</v>
      </c>
      <c r="C85" s="36" t="s">
        <v>170</v>
      </c>
      <c r="D85" s="36">
        <v>1.0</v>
      </c>
      <c r="E85" s="36" t="s">
        <v>115</v>
      </c>
      <c r="F85" s="36" t="s">
        <v>116</v>
      </c>
      <c r="G85" s="36">
        <v>0.0</v>
      </c>
      <c r="H85" s="36">
        <f t="shared" si="6"/>
        <v>90</v>
      </c>
      <c r="I85" s="36">
        <v>0.0</v>
      </c>
      <c r="J85" s="36" t="s">
        <v>95</v>
      </c>
    </row>
    <row r="86">
      <c r="A86" s="35" t="s">
        <v>171</v>
      </c>
      <c r="B86" s="36" t="s">
        <v>26</v>
      </c>
      <c r="C86" s="36" t="s">
        <v>172</v>
      </c>
      <c r="D86" s="36">
        <v>3.0</v>
      </c>
      <c r="E86" s="36" t="s">
        <v>115</v>
      </c>
      <c r="F86" s="36" t="s">
        <v>116</v>
      </c>
      <c r="G86" s="36">
        <v>0.0</v>
      </c>
      <c r="H86" s="36">
        <f t="shared" si="6"/>
        <v>70</v>
      </c>
      <c r="I86" s="36">
        <v>0.0</v>
      </c>
      <c r="J86" s="36" t="s">
        <v>89</v>
      </c>
    </row>
    <row r="89">
      <c r="A89" s="39" t="s">
        <v>173</v>
      </c>
    </row>
    <row r="91">
      <c r="A91" s="38" t="s">
        <v>74</v>
      </c>
      <c r="B91" s="38" t="s">
        <v>23</v>
      </c>
      <c r="C91" s="38" t="s">
        <v>75</v>
      </c>
      <c r="D91" s="38" t="s">
        <v>76</v>
      </c>
      <c r="E91" s="38" t="s">
        <v>77</v>
      </c>
      <c r="F91" s="38" t="s">
        <v>78</v>
      </c>
      <c r="G91" s="38" t="s">
        <v>79</v>
      </c>
      <c r="H91" s="38" t="s">
        <v>4</v>
      </c>
      <c r="I91" s="38" t="s">
        <v>80</v>
      </c>
      <c r="J91" s="38" t="s">
        <v>81</v>
      </c>
    </row>
    <row r="92">
      <c r="A92" s="40" t="s">
        <v>174</v>
      </c>
      <c r="B92" s="41" t="s">
        <v>32</v>
      </c>
      <c r="C92" s="41" t="s">
        <v>175</v>
      </c>
      <c r="D92" s="41">
        <v>3.0</v>
      </c>
      <c r="E92" s="41" t="s">
        <v>115</v>
      </c>
      <c r="F92" s="41" t="s">
        <v>116</v>
      </c>
      <c r="G92" s="41">
        <v>0.0</v>
      </c>
      <c r="H92" s="41">
        <f t="shared" ref="H92:H95" si="7">IFS(F92="Reference", "-", F92="Zero", MAX(0, 100 - (D92 * 10)), F92="Higher", MIN(100, ROUND((D92 / G92) * 100, 1)))</f>
        <v>70</v>
      </c>
      <c r="I92" s="41">
        <v>0.0</v>
      </c>
      <c r="J92" s="41" t="s">
        <v>89</v>
      </c>
    </row>
    <row r="93">
      <c r="A93" s="40" t="s">
        <v>176</v>
      </c>
      <c r="B93" s="41" t="s">
        <v>32</v>
      </c>
      <c r="C93" s="41" t="s">
        <v>177</v>
      </c>
      <c r="D93" s="41">
        <v>2.0</v>
      </c>
      <c r="E93" s="41" t="s">
        <v>115</v>
      </c>
      <c r="F93" s="41" t="s">
        <v>116</v>
      </c>
      <c r="G93" s="41">
        <v>0.0</v>
      </c>
      <c r="H93" s="41">
        <f t="shared" si="7"/>
        <v>80</v>
      </c>
      <c r="I93" s="41">
        <v>0.0</v>
      </c>
      <c r="J93" s="41" t="s">
        <v>95</v>
      </c>
    </row>
    <row r="94">
      <c r="A94" s="40" t="s">
        <v>178</v>
      </c>
      <c r="B94" s="41" t="s">
        <v>32</v>
      </c>
      <c r="C94" s="41" t="s">
        <v>179</v>
      </c>
      <c r="D94" s="41">
        <v>8.0</v>
      </c>
      <c r="E94" s="41" t="s">
        <v>115</v>
      </c>
      <c r="F94" s="41" t="s">
        <v>180</v>
      </c>
      <c r="G94" s="41" t="s">
        <v>181</v>
      </c>
      <c r="H94" s="41" t="str">
        <f t="shared" si="7"/>
        <v>-</v>
      </c>
      <c r="I94" s="41" t="s">
        <v>182</v>
      </c>
      <c r="J94" s="41" t="s">
        <v>181</v>
      </c>
    </row>
    <row r="95">
      <c r="A95" s="40" t="s">
        <v>183</v>
      </c>
      <c r="B95" s="41" t="s">
        <v>32</v>
      </c>
      <c r="C95" s="41" t="s">
        <v>184</v>
      </c>
      <c r="D95" s="41">
        <v>64.0</v>
      </c>
      <c r="E95" s="41" t="s">
        <v>115</v>
      </c>
      <c r="F95" s="41" t="s">
        <v>180</v>
      </c>
      <c r="G95" s="41" t="s">
        <v>181</v>
      </c>
      <c r="H95" s="41" t="str">
        <f t="shared" si="7"/>
        <v>-</v>
      </c>
      <c r="I95" s="41" t="s">
        <v>182</v>
      </c>
      <c r="J95" s="41" t="s">
        <v>181</v>
      </c>
    </row>
    <row r="98">
      <c r="A98" s="39" t="s">
        <v>185</v>
      </c>
    </row>
    <row r="100">
      <c r="A100" s="42" t="s">
        <v>74</v>
      </c>
      <c r="B100" s="42" t="s">
        <v>23</v>
      </c>
      <c r="C100" s="42" t="s">
        <v>75</v>
      </c>
      <c r="D100" s="42" t="s">
        <v>76</v>
      </c>
      <c r="E100" s="42" t="s">
        <v>77</v>
      </c>
      <c r="F100" s="42" t="s">
        <v>78</v>
      </c>
      <c r="G100" s="42" t="s">
        <v>79</v>
      </c>
      <c r="H100" s="42" t="s">
        <v>4</v>
      </c>
      <c r="I100" s="42" t="s">
        <v>80</v>
      </c>
      <c r="J100" s="42" t="s">
        <v>81</v>
      </c>
    </row>
    <row r="101">
      <c r="A101" s="40" t="s">
        <v>186</v>
      </c>
      <c r="B101" s="41" t="s">
        <v>38</v>
      </c>
      <c r="C101" s="41" t="s">
        <v>187</v>
      </c>
      <c r="D101" s="41">
        <v>3.0</v>
      </c>
      <c r="E101" s="41" t="s">
        <v>115</v>
      </c>
      <c r="F101" s="41" t="s">
        <v>116</v>
      </c>
      <c r="G101" s="41">
        <v>0.0</v>
      </c>
      <c r="H101" s="41">
        <f t="shared" ref="H101:H104" si="8">IFS(F101="Reference", "-", F101="Zero", MAX(0, 100 - (D101 * 10)), F101="Higher", MIN(100, ROUND((D101 / G101) * 100, 1)))</f>
        <v>70</v>
      </c>
      <c r="I101" s="41">
        <v>0.0</v>
      </c>
      <c r="J101" s="41" t="s">
        <v>89</v>
      </c>
    </row>
    <row r="102">
      <c r="A102" s="40" t="s">
        <v>188</v>
      </c>
      <c r="B102" s="41" t="s">
        <v>38</v>
      </c>
      <c r="C102" s="41" t="s">
        <v>189</v>
      </c>
      <c r="D102" s="41">
        <v>3.0</v>
      </c>
      <c r="E102" s="41" t="s">
        <v>115</v>
      </c>
      <c r="F102" s="41" t="s">
        <v>116</v>
      </c>
      <c r="G102" s="41">
        <v>0.0</v>
      </c>
      <c r="H102" s="41">
        <f t="shared" si="8"/>
        <v>70</v>
      </c>
      <c r="I102" s="41">
        <v>0.0</v>
      </c>
      <c r="J102" s="41" t="s">
        <v>89</v>
      </c>
    </row>
    <row r="103">
      <c r="A103" s="40" t="s">
        <v>190</v>
      </c>
      <c r="B103" s="41" t="s">
        <v>38</v>
      </c>
      <c r="C103" s="41" t="s">
        <v>191</v>
      </c>
      <c r="D103" s="41">
        <v>6.0</v>
      </c>
      <c r="E103" s="41" t="s">
        <v>115</v>
      </c>
      <c r="F103" s="41" t="s">
        <v>180</v>
      </c>
      <c r="G103" s="41" t="s">
        <v>181</v>
      </c>
      <c r="H103" s="41" t="str">
        <f t="shared" si="8"/>
        <v>-</v>
      </c>
      <c r="I103" s="41" t="s">
        <v>182</v>
      </c>
      <c r="J103" s="41" t="s">
        <v>181</v>
      </c>
    </row>
    <row r="104">
      <c r="A104" s="40" t="s">
        <v>192</v>
      </c>
      <c r="B104" s="41" t="s">
        <v>38</v>
      </c>
      <c r="C104" s="41" t="s">
        <v>193</v>
      </c>
      <c r="D104" s="41">
        <v>22.0</v>
      </c>
      <c r="E104" s="41" t="s">
        <v>115</v>
      </c>
      <c r="F104" s="41" t="s">
        <v>180</v>
      </c>
      <c r="G104" s="41" t="s">
        <v>181</v>
      </c>
      <c r="H104" s="41" t="str">
        <f t="shared" si="8"/>
        <v>-</v>
      </c>
      <c r="I104" s="41" t="s">
        <v>182</v>
      </c>
      <c r="J104" s="41" t="s">
        <v>181</v>
      </c>
    </row>
    <row r="107">
      <c r="A107" s="39" t="s">
        <v>194</v>
      </c>
    </row>
    <row r="108">
      <c r="A108" s="42" t="s">
        <v>74</v>
      </c>
      <c r="B108" s="42" t="s">
        <v>23</v>
      </c>
      <c r="C108" s="42" t="s">
        <v>75</v>
      </c>
      <c r="D108" s="42" t="s">
        <v>76</v>
      </c>
      <c r="E108" s="42" t="s">
        <v>77</v>
      </c>
      <c r="F108" s="42" t="s">
        <v>78</v>
      </c>
      <c r="G108" s="42" t="s">
        <v>79</v>
      </c>
      <c r="H108" s="42" t="s">
        <v>4</v>
      </c>
      <c r="I108" s="42" t="s">
        <v>80</v>
      </c>
      <c r="J108" s="42" t="s">
        <v>81</v>
      </c>
    </row>
    <row r="109">
      <c r="A109" s="40" t="s">
        <v>195</v>
      </c>
      <c r="B109" s="41" t="s">
        <v>44</v>
      </c>
      <c r="C109" s="41" t="s">
        <v>196</v>
      </c>
      <c r="D109" s="41">
        <v>0.0</v>
      </c>
      <c r="E109" s="41" t="s">
        <v>115</v>
      </c>
      <c r="F109" s="41" t="s">
        <v>116</v>
      </c>
      <c r="G109" s="41">
        <v>0.0</v>
      </c>
      <c r="H109" s="41">
        <f t="shared" ref="H109:H112" si="9">IFS(F109="Reference", "-", F109="Zero", MAX(0, 100 - (D109 * 10)), F109="Higher", MIN(100, ROUND((D109 / G109) * 100, 1)))</f>
        <v>100</v>
      </c>
      <c r="I109" s="41">
        <v>0.0</v>
      </c>
      <c r="J109" s="41" t="s">
        <v>95</v>
      </c>
    </row>
    <row r="110">
      <c r="A110" s="40" t="s">
        <v>197</v>
      </c>
      <c r="B110" s="41" t="s">
        <v>44</v>
      </c>
      <c r="C110" s="41" t="s">
        <v>198</v>
      </c>
      <c r="D110" s="41">
        <v>4.0</v>
      </c>
      <c r="E110" s="41" t="s">
        <v>115</v>
      </c>
      <c r="F110" s="41" t="s">
        <v>116</v>
      </c>
      <c r="G110" s="41">
        <v>0.0</v>
      </c>
      <c r="H110" s="41">
        <f t="shared" si="9"/>
        <v>60</v>
      </c>
      <c r="I110" s="41">
        <v>0.0</v>
      </c>
      <c r="J110" s="41" t="s">
        <v>89</v>
      </c>
    </row>
    <row r="111">
      <c r="A111" s="40" t="s">
        <v>199</v>
      </c>
      <c r="B111" s="41" t="s">
        <v>44</v>
      </c>
      <c r="C111" s="41" t="s">
        <v>200</v>
      </c>
      <c r="D111" s="41">
        <v>3.0</v>
      </c>
      <c r="E111" s="41" t="s">
        <v>115</v>
      </c>
      <c r="F111" s="41" t="s">
        <v>116</v>
      </c>
      <c r="G111" s="41">
        <v>0.0</v>
      </c>
      <c r="H111" s="41">
        <f t="shared" si="9"/>
        <v>70</v>
      </c>
      <c r="I111" s="41">
        <v>0.0</v>
      </c>
      <c r="J111" s="41" t="s">
        <v>89</v>
      </c>
    </row>
    <row r="112">
      <c r="A112" s="40" t="s">
        <v>201</v>
      </c>
      <c r="B112" s="41" t="s">
        <v>44</v>
      </c>
      <c r="C112" s="41" t="s">
        <v>202</v>
      </c>
      <c r="D112" s="41">
        <v>142.0</v>
      </c>
      <c r="E112" s="41" t="s">
        <v>115</v>
      </c>
      <c r="F112" s="41" t="s">
        <v>180</v>
      </c>
      <c r="G112" s="41" t="s">
        <v>181</v>
      </c>
      <c r="H112" s="41" t="str">
        <f t="shared" si="9"/>
        <v>-</v>
      </c>
      <c r="I112" s="41" t="s">
        <v>182</v>
      </c>
      <c r="J112" s="41" t="s">
        <v>181</v>
      </c>
    </row>
    <row r="115">
      <c r="A115" s="39" t="s">
        <v>203</v>
      </c>
    </row>
    <row r="117">
      <c r="A117" s="38" t="s">
        <v>74</v>
      </c>
      <c r="B117" s="38" t="s">
        <v>23</v>
      </c>
      <c r="C117" s="38" t="s">
        <v>75</v>
      </c>
      <c r="D117" s="38" t="s">
        <v>76</v>
      </c>
      <c r="E117" s="38" t="s">
        <v>77</v>
      </c>
      <c r="F117" s="38" t="s">
        <v>78</v>
      </c>
      <c r="G117" s="38" t="s">
        <v>79</v>
      </c>
      <c r="H117" s="38" t="s">
        <v>4</v>
      </c>
      <c r="I117" s="38" t="s">
        <v>80</v>
      </c>
      <c r="J117" s="38" t="s">
        <v>81</v>
      </c>
    </row>
    <row r="118">
      <c r="A118" s="35" t="s">
        <v>204</v>
      </c>
      <c r="B118" s="36" t="s">
        <v>50</v>
      </c>
      <c r="C118" s="36" t="s">
        <v>205</v>
      </c>
      <c r="D118" s="36">
        <v>4.0</v>
      </c>
      <c r="E118" s="36" t="s">
        <v>115</v>
      </c>
      <c r="F118" s="36" t="s">
        <v>116</v>
      </c>
      <c r="G118" s="36">
        <v>0.0</v>
      </c>
      <c r="H118" s="36">
        <f t="shared" ref="H118:H121" si="10">IFS(F118="Reference", "-", F118="Zero", MAX(0, 100 - (D118 * 10)), F118="Higher", MIN(100, ROUND((D118 / G118) * 100, 1)))</f>
        <v>60</v>
      </c>
      <c r="I118" s="36">
        <v>0.0</v>
      </c>
      <c r="J118" s="36" t="s">
        <v>89</v>
      </c>
    </row>
    <row r="119">
      <c r="A119" s="35" t="s">
        <v>206</v>
      </c>
      <c r="B119" s="36" t="s">
        <v>50</v>
      </c>
      <c r="C119" s="36" t="s">
        <v>207</v>
      </c>
      <c r="D119" s="36">
        <v>1.0</v>
      </c>
      <c r="E119" s="36" t="s">
        <v>115</v>
      </c>
      <c r="F119" s="36" t="s">
        <v>116</v>
      </c>
      <c r="G119" s="36">
        <v>0.0</v>
      </c>
      <c r="H119" s="36">
        <f t="shared" si="10"/>
        <v>90</v>
      </c>
      <c r="I119" s="36">
        <v>0.0</v>
      </c>
      <c r="J119" s="36" t="s">
        <v>95</v>
      </c>
    </row>
    <row r="120">
      <c r="A120" s="35" t="s">
        <v>208</v>
      </c>
      <c r="B120" s="36" t="s">
        <v>50</v>
      </c>
      <c r="C120" s="36" t="s">
        <v>209</v>
      </c>
      <c r="D120" s="36">
        <v>3.0</v>
      </c>
      <c r="E120" s="36" t="s">
        <v>115</v>
      </c>
      <c r="F120" s="36" t="s">
        <v>116</v>
      </c>
      <c r="G120" s="36">
        <v>0.0</v>
      </c>
      <c r="H120" s="36">
        <f t="shared" si="10"/>
        <v>70</v>
      </c>
      <c r="I120" s="36">
        <v>0.0</v>
      </c>
      <c r="J120" s="36" t="s">
        <v>89</v>
      </c>
    </row>
    <row r="121">
      <c r="A121" s="35" t="s">
        <v>210</v>
      </c>
      <c r="B121" s="36" t="s">
        <v>50</v>
      </c>
      <c r="C121" s="36" t="s">
        <v>211</v>
      </c>
      <c r="D121" s="36">
        <v>2.0</v>
      </c>
      <c r="E121" s="36" t="s">
        <v>115</v>
      </c>
      <c r="F121" s="36" t="s">
        <v>116</v>
      </c>
      <c r="G121" s="36">
        <v>0.0</v>
      </c>
      <c r="H121" s="36">
        <f t="shared" si="10"/>
        <v>80</v>
      </c>
      <c r="I121" s="36">
        <v>0.0</v>
      </c>
      <c r="J121" s="36" t="s">
        <v>95</v>
      </c>
    </row>
    <row r="124">
      <c r="A124" s="39" t="s">
        <v>212</v>
      </c>
    </row>
    <row r="126">
      <c r="A126" s="38" t="s">
        <v>74</v>
      </c>
      <c r="B126" s="38" t="s">
        <v>23</v>
      </c>
      <c r="C126" s="38" t="s">
        <v>75</v>
      </c>
      <c r="D126" s="38" t="s">
        <v>76</v>
      </c>
      <c r="E126" s="38" t="s">
        <v>77</v>
      </c>
      <c r="F126" s="38" t="s">
        <v>78</v>
      </c>
      <c r="G126" s="38" t="s">
        <v>79</v>
      </c>
      <c r="H126" s="38" t="s">
        <v>4</v>
      </c>
      <c r="I126" s="38" t="s">
        <v>80</v>
      </c>
      <c r="J126" s="38" t="s">
        <v>81</v>
      </c>
    </row>
    <row r="127">
      <c r="A127" s="35" t="s">
        <v>213</v>
      </c>
      <c r="B127" s="36" t="s">
        <v>56</v>
      </c>
      <c r="C127" s="36" t="s">
        <v>214</v>
      </c>
      <c r="D127" s="36">
        <v>0.0</v>
      </c>
      <c r="E127" s="36" t="s">
        <v>115</v>
      </c>
      <c r="F127" s="36" t="s">
        <v>116</v>
      </c>
      <c r="G127" s="36">
        <v>0.0</v>
      </c>
      <c r="H127" s="36">
        <f t="shared" ref="H127:H130" si="11">IFS(F127="Reference", "-", F127="Zero", MAX(0, 100 - (D127 * 10)), F127="Higher", MIN(100, ROUND((D127 / G127) * 100, 1)))</f>
        <v>100</v>
      </c>
      <c r="I127" s="36">
        <v>0.0</v>
      </c>
      <c r="J127" s="36" t="s">
        <v>95</v>
      </c>
    </row>
    <row r="128">
      <c r="A128" s="35" t="s">
        <v>215</v>
      </c>
      <c r="B128" s="36" t="s">
        <v>56</v>
      </c>
      <c r="C128" s="36" t="s">
        <v>216</v>
      </c>
      <c r="D128" s="36">
        <v>2.0</v>
      </c>
      <c r="E128" s="36" t="s">
        <v>115</v>
      </c>
      <c r="F128" s="36" t="s">
        <v>116</v>
      </c>
      <c r="G128" s="36">
        <v>0.0</v>
      </c>
      <c r="H128" s="36">
        <f t="shared" si="11"/>
        <v>80</v>
      </c>
      <c r="I128" s="36">
        <v>0.0</v>
      </c>
      <c r="J128" s="36" t="s">
        <v>95</v>
      </c>
    </row>
    <row r="129">
      <c r="A129" s="35" t="s">
        <v>217</v>
      </c>
      <c r="B129" s="36" t="s">
        <v>56</v>
      </c>
      <c r="C129" s="36" t="s">
        <v>218</v>
      </c>
      <c r="D129" s="36">
        <v>1.0</v>
      </c>
      <c r="E129" s="36" t="s">
        <v>115</v>
      </c>
      <c r="F129" s="36" t="s">
        <v>180</v>
      </c>
      <c r="G129" s="36" t="s">
        <v>181</v>
      </c>
      <c r="H129" s="36" t="str">
        <f t="shared" si="11"/>
        <v>-</v>
      </c>
      <c r="I129" s="36" t="s">
        <v>182</v>
      </c>
      <c r="J129" s="36" t="s">
        <v>181</v>
      </c>
    </row>
    <row r="130">
      <c r="A130" s="35" t="s">
        <v>219</v>
      </c>
      <c r="B130" s="36" t="s">
        <v>56</v>
      </c>
      <c r="C130" s="36" t="s">
        <v>220</v>
      </c>
      <c r="D130" s="36">
        <v>14.0</v>
      </c>
      <c r="E130" s="36" t="s">
        <v>115</v>
      </c>
      <c r="F130" s="36" t="s">
        <v>180</v>
      </c>
      <c r="G130" s="36" t="s">
        <v>181</v>
      </c>
      <c r="H130" s="36" t="str">
        <f t="shared" si="11"/>
        <v>-</v>
      </c>
      <c r="I130" s="36" t="s">
        <v>182</v>
      </c>
      <c r="J130" s="36" t="s">
        <v>181</v>
      </c>
    </row>
    <row r="133">
      <c r="A133" s="39" t="s">
        <v>221</v>
      </c>
    </row>
    <row r="135">
      <c r="A135" s="43" t="s">
        <v>74</v>
      </c>
      <c r="B135" s="43" t="s">
        <v>23</v>
      </c>
      <c r="C135" s="43" t="s">
        <v>75</v>
      </c>
      <c r="D135" s="43" t="s">
        <v>76</v>
      </c>
      <c r="E135" s="43" t="s">
        <v>77</v>
      </c>
      <c r="F135" s="43" t="s">
        <v>78</v>
      </c>
      <c r="G135" s="43" t="s">
        <v>79</v>
      </c>
      <c r="H135" s="43" t="s">
        <v>4</v>
      </c>
      <c r="I135" s="43" t="s">
        <v>80</v>
      </c>
      <c r="J135" s="43" t="s">
        <v>81</v>
      </c>
    </row>
    <row r="136">
      <c r="A136" s="40" t="s">
        <v>222</v>
      </c>
      <c r="B136" s="41" t="s">
        <v>28</v>
      </c>
      <c r="C136" s="41" t="s">
        <v>223</v>
      </c>
      <c r="D136" s="41">
        <v>0.0</v>
      </c>
      <c r="E136" s="41" t="s">
        <v>115</v>
      </c>
      <c r="F136" s="41" t="s">
        <v>116</v>
      </c>
      <c r="G136" s="41">
        <v>0.0</v>
      </c>
      <c r="H136" s="41">
        <f t="shared" ref="H136:H139" si="12">IFS(F136="Reference", "-", F136="Boolean", IF(D136="Yes", 100, 0), F136="Zero", MAX(0, 100 - (D136 * 10)))</f>
        <v>100</v>
      </c>
      <c r="I136" s="41">
        <v>0.0</v>
      </c>
      <c r="J136" s="41" t="s">
        <v>95</v>
      </c>
    </row>
    <row r="137">
      <c r="A137" s="40" t="s">
        <v>224</v>
      </c>
      <c r="B137" s="41" t="s">
        <v>28</v>
      </c>
      <c r="C137" s="41" t="s">
        <v>225</v>
      </c>
      <c r="D137" s="41" t="s">
        <v>226</v>
      </c>
      <c r="E137" s="41" t="s">
        <v>227</v>
      </c>
      <c r="F137" s="41" t="s">
        <v>228</v>
      </c>
      <c r="G137" s="41" t="s">
        <v>181</v>
      </c>
      <c r="H137" s="41">
        <f t="shared" si="12"/>
        <v>100</v>
      </c>
      <c r="I137" s="41" t="s">
        <v>229</v>
      </c>
      <c r="J137" s="41" t="s">
        <v>95</v>
      </c>
    </row>
    <row r="138">
      <c r="A138" s="40" t="s">
        <v>230</v>
      </c>
      <c r="B138" s="41" t="s">
        <v>28</v>
      </c>
      <c r="C138" s="41" t="s">
        <v>231</v>
      </c>
      <c r="D138" s="41" t="s">
        <v>226</v>
      </c>
      <c r="E138" s="41" t="s">
        <v>227</v>
      </c>
      <c r="F138" s="41" t="s">
        <v>228</v>
      </c>
      <c r="G138" s="41" t="s">
        <v>181</v>
      </c>
      <c r="H138" s="41">
        <f t="shared" si="12"/>
        <v>100</v>
      </c>
      <c r="I138" s="41" t="s">
        <v>229</v>
      </c>
      <c r="J138" s="41" t="s">
        <v>95</v>
      </c>
    </row>
    <row r="139">
      <c r="A139" s="40" t="s">
        <v>232</v>
      </c>
      <c r="B139" s="41" t="s">
        <v>28</v>
      </c>
      <c r="C139" s="41" t="s">
        <v>233</v>
      </c>
      <c r="D139" s="41" t="s">
        <v>226</v>
      </c>
      <c r="E139" s="41" t="s">
        <v>227</v>
      </c>
      <c r="F139" s="41" t="s">
        <v>228</v>
      </c>
      <c r="G139" s="41" t="s">
        <v>181</v>
      </c>
      <c r="H139" s="41">
        <f t="shared" si="12"/>
        <v>100</v>
      </c>
      <c r="I139" s="41" t="s">
        <v>229</v>
      </c>
      <c r="J139" s="41" t="s">
        <v>95</v>
      </c>
    </row>
    <row r="142">
      <c r="A142" s="39" t="s">
        <v>234</v>
      </c>
    </row>
    <row r="144">
      <c r="A144" s="44" t="s">
        <v>74</v>
      </c>
      <c r="B144" s="44" t="s">
        <v>23</v>
      </c>
      <c r="C144" s="44" t="s">
        <v>75</v>
      </c>
      <c r="D144" s="44" t="s">
        <v>76</v>
      </c>
      <c r="E144" s="44" t="s">
        <v>77</v>
      </c>
      <c r="F144" s="44" t="s">
        <v>78</v>
      </c>
      <c r="G144" s="44" t="s">
        <v>79</v>
      </c>
      <c r="H144" s="44" t="s">
        <v>4</v>
      </c>
      <c r="I144" s="44" t="s">
        <v>80</v>
      </c>
      <c r="J144" s="44" t="s">
        <v>81</v>
      </c>
    </row>
    <row r="145">
      <c r="A145" s="35" t="s">
        <v>235</v>
      </c>
      <c r="B145" s="36" t="s">
        <v>34</v>
      </c>
      <c r="C145" s="36" t="s">
        <v>236</v>
      </c>
      <c r="D145" s="36">
        <v>1.0</v>
      </c>
      <c r="E145" s="36" t="s">
        <v>115</v>
      </c>
      <c r="F145" s="36" t="s">
        <v>116</v>
      </c>
      <c r="G145" s="36">
        <v>0.0</v>
      </c>
      <c r="H145" s="36">
        <f t="shared" ref="H145:H148" si="13">IFS(F145="Reference", "-", F145="Boolean", IF(D145="Yes", 100, 0), F145="Zero", MAX(0, 100 - (D145 * 10)))</f>
        <v>90</v>
      </c>
      <c r="I145" s="36">
        <v>0.0</v>
      </c>
      <c r="J145" s="36" t="s">
        <v>95</v>
      </c>
    </row>
    <row r="146">
      <c r="A146" s="35" t="s">
        <v>237</v>
      </c>
      <c r="B146" s="36" t="s">
        <v>34</v>
      </c>
      <c r="C146" s="36" t="s">
        <v>238</v>
      </c>
      <c r="D146" s="36">
        <v>0.0</v>
      </c>
      <c r="E146" s="36" t="s">
        <v>115</v>
      </c>
      <c r="F146" s="36" t="s">
        <v>116</v>
      </c>
      <c r="G146" s="36">
        <v>0.0</v>
      </c>
      <c r="H146" s="36">
        <f t="shared" si="13"/>
        <v>100</v>
      </c>
      <c r="I146" s="36">
        <v>0.0</v>
      </c>
      <c r="J146" s="36" t="s">
        <v>95</v>
      </c>
    </row>
    <row r="147">
      <c r="A147" s="35" t="s">
        <v>239</v>
      </c>
      <c r="B147" s="36" t="s">
        <v>34</v>
      </c>
      <c r="C147" s="36" t="s">
        <v>240</v>
      </c>
      <c r="D147" s="36">
        <v>0.0</v>
      </c>
      <c r="E147" s="36" t="s">
        <v>115</v>
      </c>
      <c r="F147" s="36" t="s">
        <v>116</v>
      </c>
      <c r="G147" s="36">
        <v>0.0</v>
      </c>
      <c r="H147" s="36">
        <f t="shared" si="13"/>
        <v>100</v>
      </c>
      <c r="I147" s="36">
        <v>0.0</v>
      </c>
      <c r="J147" s="36" t="s">
        <v>95</v>
      </c>
    </row>
    <row r="148">
      <c r="A148" s="35" t="s">
        <v>241</v>
      </c>
      <c r="B148" s="36" t="s">
        <v>34</v>
      </c>
      <c r="C148" s="36" t="s">
        <v>242</v>
      </c>
      <c r="D148" s="36">
        <v>1.0</v>
      </c>
      <c r="E148" s="36" t="s">
        <v>115</v>
      </c>
      <c r="F148" s="36" t="s">
        <v>116</v>
      </c>
      <c r="G148" s="36">
        <v>0.0</v>
      </c>
      <c r="H148" s="36">
        <f t="shared" si="13"/>
        <v>90</v>
      </c>
      <c r="I148" s="36">
        <v>0.0</v>
      </c>
      <c r="J148" s="36" t="s">
        <v>95</v>
      </c>
    </row>
    <row r="151">
      <c r="A151" s="39" t="s">
        <v>243</v>
      </c>
    </row>
    <row r="153">
      <c r="A153" s="43" t="s">
        <v>74</v>
      </c>
      <c r="B153" s="43" t="s">
        <v>23</v>
      </c>
      <c r="C153" s="43" t="s">
        <v>75</v>
      </c>
      <c r="D153" s="43" t="s">
        <v>76</v>
      </c>
      <c r="E153" s="43" t="s">
        <v>77</v>
      </c>
      <c r="F153" s="43" t="s">
        <v>78</v>
      </c>
      <c r="G153" s="43" t="s">
        <v>79</v>
      </c>
      <c r="H153" s="43" t="s">
        <v>4</v>
      </c>
      <c r="I153" s="43" t="s">
        <v>80</v>
      </c>
      <c r="J153" s="43" t="s">
        <v>81</v>
      </c>
    </row>
    <row r="154">
      <c r="A154" s="40" t="s">
        <v>244</v>
      </c>
      <c r="B154" s="41" t="s">
        <v>40</v>
      </c>
      <c r="C154" s="41" t="s">
        <v>41</v>
      </c>
      <c r="D154" s="41">
        <v>0.0</v>
      </c>
      <c r="E154" s="41" t="s">
        <v>115</v>
      </c>
      <c r="F154" s="41" t="s">
        <v>116</v>
      </c>
      <c r="G154" s="41">
        <v>0.0</v>
      </c>
      <c r="H154" s="41">
        <f t="shared" ref="H154:H157" si="14">IFS(F154="Reference", "-", F154="Boolean", IF(D154="Yes", 100, 0), F154="Zero", MAX(0, 100 - (D154 * 10)))</f>
        <v>100</v>
      </c>
      <c r="I154" s="41">
        <v>0.0</v>
      </c>
      <c r="J154" s="41" t="s">
        <v>95</v>
      </c>
    </row>
    <row r="155">
      <c r="A155" s="40" t="s">
        <v>245</v>
      </c>
      <c r="B155" s="41" t="s">
        <v>40</v>
      </c>
      <c r="C155" s="41" t="s">
        <v>246</v>
      </c>
      <c r="D155" s="41">
        <v>2.0</v>
      </c>
      <c r="E155" s="41" t="s">
        <v>115</v>
      </c>
      <c r="F155" s="41" t="s">
        <v>116</v>
      </c>
      <c r="G155" s="41">
        <v>0.0</v>
      </c>
      <c r="H155" s="41">
        <f t="shared" si="14"/>
        <v>80</v>
      </c>
      <c r="I155" s="41">
        <v>0.0</v>
      </c>
      <c r="J155" s="41" t="s">
        <v>95</v>
      </c>
    </row>
    <row r="156">
      <c r="A156" s="40" t="s">
        <v>247</v>
      </c>
      <c r="B156" s="41" t="s">
        <v>40</v>
      </c>
      <c r="C156" s="41" t="s">
        <v>248</v>
      </c>
      <c r="D156" s="41">
        <v>0.0</v>
      </c>
      <c r="E156" s="41" t="s">
        <v>115</v>
      </c>
      <c r="F156" s="41" t="s">
        <v>116</v>
      </c>
      <c r="G156" s="41">
        <v>0.0</v>
      </c>
      <c r="H156" s="41">
        <f t="shared" si="14"/>
        <v>100</v>
      </c>
      <c r="I156" s="41">
        <v>0.0</v>
      </c>
      <c r="J156" s="41" t="s">
        <v>95</v>
      </c>
    </row>
    <row r="157">
      <c r="A157" s="40" t="s">
        <v>249</v>
      </c>
      <c r="B157" s="41" t="s">
        <v>40</v>
      </c>
      <c r="C157" s="41" t="s">
        <v>250</v>
      </c>
      <c r="D157" s="41">
        <v>1.0</v>
      </c>
      <c r="E157" s="41" t="s">
        <v>115</v>
      </c>
      <c r="F157" s="41" t="s">
        <v>116</v>
      </c>
      <c r="G157" s="41">
        <v>0.0</v>
      </c>
      <c r="H157" s="41">
        <f t="shared" si="14"/>
        <v>90</v>
      </c>
      <c r="I157" s="41">
        <v>0.0</v>
      </c>
      <c r="J157" s="41" t="s">
        <v>95</v>
      </c>
    </row>
    <row r="160">
      <c r="A160" s="39" t="s">
        <v>251</v>
      </c>
    </row>
    <row r="162">
      <c r="A162" s="43" t="s">
        <v>74</v>
      </c>
      <c r="B162" s="43" t="s">
        <v>23</v>
      </c>
      <c r="C162" s="43" t="s">
        <v>75</v>
      </c>
      <c r="D162" s="43" t="s">
        <v>76</v>
      </c>
      <c r="E162" s="43" t="s">
        <v>77</v>
      </c>
      <c r="F162" s="43" t="s">
        <v>78</v>
      </c>
      <c r="G162" s="43" t="s">
        <v>79</v>
      </c>
      <c r="H162" s="43" t="s">
        <v>4</v>
      </c>
      <c r="I162" s="43" t="s">
        <v>80</v>
      </c>
      <c r="J162" s="43" t="s">
        <v>81</v>
      </c>
    </row>
    <row r="163">
      <c r="A163" s="40" t="s">
        <v>252</v>
      </c>
      <c r="B163" s="41" t="s">
        <v>46</v>
      </c>
      <c r="C163" s="41" t="s">
        <v>253</v>
      </c>
      <c r="D163" s="41">
        <v>0.0</v>
      </c>
      <c r="E163" s="41" t="s">
        <v>115</v>
      </c>
      <c r="F163" s="41" t="s">
        <v>116</v>
      </c>
      <c r="G163" s="41">
        <v>0.0</v>
      </c>
      <c r="H163" s="41">
        <f t="shared" ref="H163:H166" si="15">IFS(F163="Reference", "-", F163="Boolean", IF(D163="Yes", 100, 0), F163="Zero", MAX(0, 100 - (D163 * 10)))</f>
        <v>100</v>
      </c>
      <c r="I163" s="41">
        <v>0.0</v>
      </c>
      <c r="J163" s="41" t="s">
        <v>95</v>
      </c>
    </row>
    <row r="164">
      <c r="A164" s="40" t="s">
        <v>254</v>
      </c>
      <c r="B164" s="41" t="s">
        <v>46</v>
      </c>
      <c r="C164" s="41" t="s">
        <v>255</v>
      </c>
      <c r="D164" s="41">
        <v>0.0</v>
      </c>
      <c r="E164" s="41" t="s">
        <v>115</v>
      </c>
      <c r="F164" s="41" t="s">
        <v>116</v>
      </c>
      <c r="G164" s="41">
        <v>0.0</v>
      </c>
      <c r="H164" s="41">
        <f t="shared" si="15"/>
        <v>100</v>
      </c>
      <c r="I164" s="41">
        <v>0.0</v>
      </c>
      <c r="J164" s="41" t="s">
        <v>95</v>
      </c>
    </row>
    <row r="165">
      <c r="A165" s="40" t="s">
        <v>256</v>
      </c>
      <c r="B165" s="41" t="s">
        <v>46</v>
      </c>
      <c r="C165" s="41" t="s">
        <v>257</v>
      </c>
      <c r="D165" s="41">
        <v>1.0</v>
      </c>
      <c r="E165" s="41" t="s">
        <v>115</v>
      </c>
      <c r="F165" s="41" t="s">
        <v>116</v>
      </c>
      <c r="G165" s="41">
        <v>0.0</v>
      </c>
      <c r="H165" s="41">
        <f t="shared" si="15"/>
        <v>90</v>
      </c>
      <c r="I165" s="41">
        <v>0.0</v>
      </c>
      <c r="J165" s="41" t="s">
        <v>95</v>
      </c>
    </row>
    <row r="166">
      <c r="A166" s="40" t="s">
        <v>258</v>
      </c>
      <c r="B166" s="41" t="s">
        <v>46</v>
      </c>
      <c r="C166" s="41" t="s">
        <v>259</v>
      </c>
      <c r="D166" s="41">
        <v>2.0</v>
      </c>
      <c r="E166" s="41" t="s">
        <v>115</v>
      </c>
      <c r="F166" s="41" t="s">
        <v>116</v>
      </c>
      <c r="G166" s="41">
        <v>0.0</v>
      </c>
      <c r="H166" s="41">
        <f t="shared" si="15"/>
        <v>80</v>
      </c>
      <c r="I166" s="41">
        <v>0.0</v>
      </c>
      <c r="J166" s="41" t="s">
        <v>95</v>
      </c>
    </row>
    <row r="169">
      <c r="A169" s="39" t="s">
        <v>260</v>
      </c>
    </row>
    <row r="171">
      <c r="A171" s="43" t="s">
        <v>74</v>
      </c>
      <c r="B171" s="43" t="s">
        <v>23</v>
      </c>
      <c r="C171" s="43" t="s">
        <v>75</v>
      </c>
      <c r="D171" s="43" t="s">
        <v>76</v>
      </c>
      <c r="E171" s="43" t="s">
        <v>77</v>
      </c>
      <c r="F171" s="43" t="s">
        <v>78</v>
      </c>
      <c r="G171" s="43" t="s">
        <v>79</v>
      </c>
      <c r="H171" s="43" t="s">
        <v>4</v>
      </c>
      <c r="I171" s="43" t="s">
        <v>80</v>
      </c>
      <c r="J171" s="43" t="s">
        <v>81</v>
      </c>
    </row>
    <row r="172">
      <c r="A172" s="40" t="s">
        <v>261</v>
      </c>
      <c r="B172" s="41" t="s">
        <v>52</v>
      </c>
      <c r="C172" s="41" t="s">
        <v>262</v>
      </c>
      <c r="D172" s="41">
        <v>1.0</v>
      </c>
      <c r="E172" s="41" t="s">
        <v>115</v>
      </c>
      <c r="F172" s="41" t="s">
        <v>116</v>
      </c>
      <c r="G172" s="41">
        <v>0.0</v>
      </c>
      <c r="H172" s="41">
        <f t="shared" ref="H172:H175" si="16">IFS(F172="Reference", "-", F172="Boolean", IF(D172="Yes", 100, 0), F172="Zero", MAX(0, 100 - (D172 * 10)))</f>
        <v>90</v>
      </c>
      <c r="I172" s="41">
        <v>0.0</v>
      </c>
      <c r="J172" s="41" t="s">
        <v>95</v>
      </c>
    </row>
    <row r="173">
      <c r="A173" s="40" t="s">
        <v>263</v>
      </c>
      <c r="B173" s="41" t="s">
        <v>52</v>
      </c>
      <c r="C173" s="41" t="s">
        <v>264</v>
      </c>
      <c r="D173" s="41">
        <v>0.0</v>
      </c>
      <c r="E173" s="41" t="s">
        <v>115</v>
      </c>
      <c r="F173" s="41" t="s">
        <v>116</v>
      </c>
      <c r="G173" s="41">
        <v>0.0</v>
      </c>
      <c r="H173" s="41">
        <f t="shared" si="16"/>
        <v>100</v>
      </c>
      <c r="I173" s="41">
        <v>0.0</v>
      </c>
      <c r="J173" s="41" t="s">
        <v>95</v>
      </c>
    </row>
    <row r="174">
      <c r="A174" s="40" t="s">
        <v>265</v>
      </c>
      <c r="B174" s="41" t="s">
        <v>52</v>
      </c>
      <c r="C174" s="41" t="s">
        <v>266</v>
      </c>
      <c r="D174" s="41">
        <v>24.0</v>
      </c>
      <c r="E174" s="41" t="s">
        <v>115</v>
      </c>
      <c r="F174" s="41" t="s">
        <v>180</v>
      </c>
      <c r="G174" s="41" t="s">
        <v>181</v>
      </c>
      <c r="H174" s="41" t="str">
        <f t="shared" si="16"/>
        <v>-</v>
      </c>
      <c r="I174" s="41" t="s">
        <v>182</v>
      </c>
      <c r="J174" s="41" t="s">
        <v>181</v>
      </c>
    </row>
    <row r="175">
      <c r="A175" s="40" t="s">
        <v>267</v>
      </c>
      <c r="B175" s="41" t="s">
        <v>52</v>
      </c>
      <c r="C175" s="41" t="s">
        <v>268</v>
      </c>
      <c r="D175" s="41">
        <v>22.0</v>
      </c>
      <c r="E175" s="41" t="s">
        <v>115</v>
      </c>
      <c r="F175" s="41" t="s">
        <v>180</v>
      </c>
      <c r="G175" s="41" t="s">
        <v>181</v>
      </c>
      <c r="H175" s="41" t="str">
        <f t="shared" si="16"/>
        <v>-</v>
      </c>
      <c r="I175" s="41" t="s">
        <v>182</v>
      </c>
      <c r="J175" s="41" t="s">
        <v>181</v>
      </c>
    </row>
    <row r="178">
      <c r="A178" s="39" t="s">
        <v>269</v>
      </c>
    </row>
    <row r="180">
      <c r="A180" s="43" t="s">
        <v>74</v>
      </c>
      <c r="B180" s="43" t="s">
        <v>23</v>
      </c>
      <c r="C180" s="43" t="s">
        <v>75</v>
      </c>
      <c r="D180" s="43" t="s">
        <v>76</v>
      </c>
      <c r="E180" s="43" t="s">
        <v>77</v>
      </c>
      <c r="F180" s="43" t="s">
        <v>78</v>
      </c>
      <c r="G180" s="43" t="s">
        <v>79</v>
      </c>
      <c r="H180" s="43" t="s">
        <v>4</v>
      </c>
      <c r="I180" s="43" t="s">
        <v>80</v>
      </c>
      <c r="J180" s="43" t="s">
        <v>81</v>
      </c>
    </row>
    <row r="181">
      <c r="A181" s="40" t="s">
        <v>270</v>
      </c>
      <c r="B181" s="41" t="s">
        <v>58</v>
      </c>
      <c r="C181" s="41" t="s">
        <v>271</v>
      </c>
      <c r="D181" s="41">
        <v>1.0</v>
      </c>
      <c r="E181" s="41" t="s">
        <v>115</v>
      </c>
      <c r="F181" s="41" t="s">
        <v>116</v>
      </c>
      <c r="G181" s="41">
        <v>0.0</v>
      </c>
      <c r="H181" s="41">
        <f t="shared" ref="H181:H184" si="17">IFS(F181="Reference", "-", F181="Boolean", IF(D181="Yes", 100, 0), F181="Zero", MAX(0, 100 - (D181 * 10)))</f>
        <v>90</v>
      </c>
      <c r="I181" s="41">
        <v>0.0</v>
      </c>
      <c r="J181" s="41" t="s">
        <v>95</v>
      </c>
    </row>
    <row r="182">
      <c r="A182" s="40" t="s">
        <v>272</v>
      </c>
      <c r="B182" s="41" t="s">
        <v>58</v>
      </c>
      <c r="C182" s="41" t="s">
        <v>273</v>
      </c>
      <c r="D182" s="41">
        <v>48.0</v>
      </c>
      <c r="E182" s="41" t="s">
        <v>115</v>
      </c>
      <c r="F182" s="41" t="s">
        <v>180</v>
      </c>
      <c r="G182" s="41" t="s">
        <v>181</v>
      </c>
      <c r="H182" s="41" t="str">
        <f t="shared" si="17"/>
        <v>-</v>
      </c>
      <c r="I182" s="41" t="s">
        <v>182</v>
      </c>
      <c r="J182" s="41" t="s">
        <v>181</v>
      </c>
    </row>
    <row r="183">
      <c r="A183" s="40" t="s">
        <v>274</v>
      </c>
      <c r="B183" s="41" t="s">
        <v>58</v>
      </c>
      <c r="C183" s="41" t="s">
        <v>275</v>
      </c>
      <c r="D183" s="41">
        <v>36.0</v>
      </c>
      <c r="E183" s="41" t="s">
        <v>115</v>
      </c>
      <c r="F183" s="41" t="s">
        <v>180</v>
      </c>
      <c r="G183" s="41" t="s">
        <v>181</v>
      </c>
      <c r="H183" s="41" t="str">
        <f t="shared" si="17"/>
        <v>-</v>
      </c>
      <c r="I183" s="41" t="s">
        <v>182</v>
      </c>
      <c r="J183" s="41" t="s">
        <v>181</v>
      </c>
    </row>
    <row r="184">
      <c r="A184" s="40" t="s">
        <v>276</v>
      </c>
      <c r="B184" s="41" t="s">
        <v>58</v>
      </c>
      <c r="C184" s="41" t="s">
        <v>277</v>
      </c>
      <c r="D184" s="41">
        <v>45.0</v>
      </c>
      <c r="E184" s="41" t="s">
        <v>115</v>
      </c>
      <c r="F184" s="41" t="s">
        <v>180</v>
      </c>
      <c r="G184" s="41" t="s">
        <v>181</v>
      </c>
      <c r="H184" s="41" t="str">
        <f t="shared" si="17"/>
        <v>-</v>
      </c>
      <c r="I184" s="41" t="s">
        <v>182</v>
      </c>
      <c r="J184" s="41" t="s">
        <v>181</v>
      </c>
    </row>
    <row r="187">
      <c r="A187" s="39" t="s">
        <v>278</v>
      </c>
    </row>
    <row r="189">
      <c r="A189" s="45" t="s">
        <v>74</v>
      </c>
      <c r="B189" s="45" t="s">
        <v>23</v>
      </c>
      <c r="C189" s="45" t="s">
        <v>75</v>
      </c>
      <c r="D189" s="45" t="s">
        <v>76</v>
      </c>
      <c r="E189" s="45" t="s">
        <v>77</v>
      </c>
      <c r="F189" s="45" t="s">
        <v>78</v>
      </c>
      <c r="G189" s="45" t="s">
        <v>79</v>
      </c>
      <c r="H189" s="45" t="s">
        <v>4</v>
      </c>
      <c r="I189" s="45" t="s">
        <v>80</v>
      </c>
      <c r="J189" s="45" t="s">
        <v>81</v>
      </c>
    </row>
    <row r="190">
      <c r="A190" s="40" t="s">
        <v>279</v>
      </c>
      <c r="B190" s="41" t="s">
        <v>68</v>
      </c>
      <c r="C190" s="41" t="s">
        <v>280</v>
      </c>
      <c r="D190" s="41">
        <v>54.0</v>
      </c>
      <c r="E190" s="41" t="s">
        <v>281</v>
      </c>
      <c r="F190" s="41" t="s">
        <v>87</v>
      </c>
      <c r="G190" s="41">
        <v>60.0</v>
      </c>
      <c r="H190" s="41">
        <f t="shared" ref="H190:H193" si="18">IFS(F190="Reference", "-", F190="Boolean", IF(D190="Yes", 100, 0), F190="BooleanInverse", IF(D190="No", 100, 0), F190="Zero", MAX(0, 100 - (D190 * 10)), F190="Lower", IF(D190&lt;=G190, 100, MAX(0, 100 - ((D190 - G190) * 2))))</f>
        <v>100</v>
      </c>
      <c r="I190" s="41" t="s">
        <v>282</v>
      </c>
      <c r="J190" s="41" t="s">
        <v>95</v>
      </c>
    </row>
    <row r="191">
      <c r="A191" s="40" t="s">
        <v>283</v>
      </c>
      <c r="B191" s="41" t="s">
        <v>68</v>
      </c>
      <c r="C191" s="41" t="s">
        <v>284</v>
      </c>
      <c r="D191" s="41" t="s">
        <v>226</v>
      </c>
      <c r="E191" s="41" t="s">
        <v>227</v>
      </c>
      <c r="F191" s="41" t="s">
        <v>228</v>
      </c>
      <c r="G191" s="41" t="s">
        <v>181</v>
      </c>
      <c r="H191" s="41">
        <f t="shared" si="18"/>
        <v>100</v>
      </c>
      <c r="I191" s="41" t="s">
        <v>229</v>
      </c>
      <c r="J191" s="41" t="s">
        <v>95</v>
      </c>
    </row>
    <row r="192">
      <c r="A192" s="40" t="s">
        <v>285</v>
      </c>
      <c r="B192" s="41" t="s">
        <v>68</v>
      </c>
      <c r="C192" s="41" t="s">
        <v>286</v>
      </c>
      <c r="D192" s="41" t="s">
        <v>287</v>
      </c>
      <c r="E192" s="41" t="s">
        <v>227</v>
      </c>
      <c r="F192" s="41" t="s">
        <v>288</v>
      </c>
      <c r="G192" s="41" t="s">
        <v>181</v>
      </c>
      <c r="H192" s="41">
        <f t="shared" si="18"/>
        <v>100</v>
      </c>
      <c r="I192" s="41" t="s">
        <v>289</v>
      </c>
      <c r="J192" s="41" t="s">
        <v>95</v>
      </c>
    </row>
    <row r="193">
      <c r="A193" s="40" t="s">
        <v>290</v>
      </c>
      <c r="B193" s="41" t="s">
        <v>68</v>
      </c>
      <c r="C193" s="41" t="s">
        <v>291</v>
      </c>
      <c r="D193" s="41">
        <v>2.0</v>
      </c>
      <c r="E193" s="41" t="s">
        <v>115</v>
      </c>
      <c r="F193" s="41" t="s">
        <v>180</v>
      </c>
      <c r="G193" s="41" t="s">
        <v>181</v>
      </c>
      <c r="H193" s="41" t="str">
        <f t="shared" si="18"/>
        <v>-</v>
      </c>
      <c r="I193" s="41" t="s">
        <v>182</v>
      </c>
      <c r="J193" s="41" t="s">
        <v>181</v>
      </c>
    </row>
    <row r="196">
      <c r="A196" s="39" t="s">
        <v>292</v>
      </c>
    </row>
    <row r="198">
      <c r="A198" s="45" t="s">
        <v>74</v>
      </c>
      <c r="B198" s="45" t="s">
        <v>23</v>
      </c>
      <c r="C198" s="45" t="s">
        <v>75</v>
      </c>
      <c r="D198" s="45" t="s">
        <v>76</v>
      </c>
      <c r="E198" s="45" t="s">
        <v>77</v>
      </c>
      <c r="F198" s="45" t="s">
        <v>78</v>
      </c>
      <c r="G198" s="45" t="s">
        <v>79</v>
      </c>
      <c r="H198" s="45" t="s">
        <v>4</v>
      </c>
      <c r="I198" s="45" t="s">
        <v>80</v>
      </c>
      <c r="J198" s="45" t="s">
        <v>81</v>
      </c>
    </row>
    <row r="199">
      <c r="A199" s="40" t="s">
        <v>293</v>
      </c>
      <c r="B199" s="41" t="s">
        <v>71</v>
      </c>
      <c r="C199" s="41" t="s">
        <v>294</v>
      </c>
      <c r="D199" s="41">
        <v>145.0</v>
      </c>
      <c r="E199" s="41" t="s">
        <v>281</v>
      </c>
      <c r="F199" s="41" t="s">
        <v>87</v>
      </c>
      <c r="G199" s="41">
        <v>160.0</v>
      </c>
      <c r="H199" s="41">
        <f t="shared" ref="H199:H202" si="19">IFS(F199="Reference", "-", F199="Boolean", IF(D199="Yes", 100, 0), F199="BooleanInverse", IF(D199="No", 100, 0), F199="Zero", MAX(0, 100 - (D199 * 10)), F199="Lower", IF(D199&lt;=G199, 100, MAX(0, 100 - ((D199 - G199) * 2))))</f>
        <v>100</v>
      </c>
      <c r="I199" s="41" t="s">
        <v>295</v>
      </c>
      <c r="J199" s="41" t="s">
        <v>95</v>
      </c>
    </row>
    <row r="200">
      <c r="A200" s="40" t="s">
        <v>296</v>
      </c>
      <c r="B200" s="41" t="s">
        <v>71</v>
      </c>
      <c r="C200" s="41" t="s">
        <v>297</v>
      </c>
      <c r="D200" s="41" t="s">
        <v>226</v>
      </c>
      <c r="E200" s="41" t="s">
        <v>227</v>
      </c>
      <c r="F200" s="41" t="s">
        <v>228</v>
      </c>
      <c r="G200" s="41" t="s">
        <v>181</v>
      </c>
      <c r="H200" s="41">
        <f t="shared" si="19"/>
        <v>100</v>
      </c>
      <c r="I200" s="41" t="s">
        <v>229</v>
      </c>
      <c r="J200" s="41" t="s">
        <v>95</v>
      </c>
    </row>
    <row r="201">
      <c r="A201" s="40" t="s">
        <v>298</v>
      </c>
      <c r="B201" s="41" t="s">
        <v>71</v>
      </c>
      <c r="C201" s="41" t="s">
        <v>299</v>
      </c>
      <c r="D201" s="41" t="s">
        <v>287</v>
      </c>
      <c r="E201" s="41" t="s">
        <v>227</v>
      </c>
      <c r="F201" s="41" t="s">
        <v>288</v>
      </c>
      <c r="G201" s="41" t="s">
        <v>181</v>
      </c>
      <c r="H201" s="41">
        <f t="shared" si="19"/>
        <v>100</v>
      </c>
      <c r="I201" s="41" t="s">
        <v>289</v>
      </c>
      <c r="J201" s="41" t="s">
        <v>95</v>
      </c>
    </row>
    <row r="202">
      <c r="A202" s="40" t="s">
        <v>300</v>
      </c>
      <c r="B202" s="41" t="s">
        <v>71</v>
      </c>
      <c r="C202" s="41" t="s">
        <v>301</v>
      </c>
      <c r="D202" s="41">
        <v>3.0</v>
      </c>
      <c r="E202" s="41" t="s">
        <v>115</v>
      </c>
      <c r="F202" s="41" t="s">
        <v>180</v>
      </c>
      <c r="G202" s="41" t="s">
        <v>181</v>
      </c>
      <c r="H202" s="41" t="str">
        <f t="shared" si="19"/>
        <v>-</v>
      </c>
      <c r="I202" s="41" t="s">
        <v>182</v>
      </c>
      <c r="J202" s="41" t="s">
        <v>181</v>
      </c>
    </row>
    <row r="205">
      <c r="A205" s="39" t="s">
        <v>302</v>
      </c>
    </row>
    <row r="207">
      <c r="A207" s="45" t="s">
        <v>74</v>
      </c>
      <c r="B207" s="45" t="s">
        <v>23</v>
      </c>
      <c r="C207" s="45" t="s">
        <v>75</v>
      </c>
      <c r="D207" s="45" t="s">
        <v>76</v>
      </c>
      <c r="E207" s="45" t="s">
        <v>77</v>
      </c>
      <c r="F207" s="45" t="s">
        <v>78</v>
      </c>
      <c r="G207" s="45" t="s">
        <v>79</v>
      </c>
      <c r="H207" s="45" t="s">
        <v>4</v>
      </c>
      <c r="I207" s="45" t="s">
        <v>80</v>
      </c>
      <c r="J207" s="45" t="s">
        <v>81</v>
      </c>
    </row>
    <row r="208">
      <c r="A208" s="40" t="s">
        <v>303</v>
      </c>
      <c r="B208" s="41" t="s">
        <v>73</v>
      </c>
      <c r="C208" s="41" t="s">
        <v>304</v>
      </c>
      <c r="D208" s="41" t="s">
        <v>287</v>
      </c>
      <c r="E208" s="41" t="s">
        <v>227</v>
      </c>
      <c r="F208" s="41" t="s">
        <v>288</v>
      </c>
      <c r="G208" s="41" t="s">
        <v>181</v>
      </c>
      <c r="H208" s="41">
        <f t="shared" ref="H208:H211" si="20">IFS(F208="Reference", "-", F208="Boolean", IF(D208="Yes", 100, 0), F208="BooleanInverse", IF(D208="No", 100, 0), F208="Zero", MAX(0, 100 - (D208 * 10)), F208="Lower", IF(D208&lt;=G208, 100, MAX(0, 100 - ((D208 - G208) * 2))))</f>
        <v>100</v>
      </c>
      <c r="I208" s="41" t="s">
        <v>289</v>
      </c>
      <c r="J208" s="41" t="s">
        <v>95</v>
      </c>
    </row>
    <row r="209">
      <c r="A209" s="40" t="s">
        <v>305</v>
      </c>
      <c r="B209" s="41" t="s">
        <v>73</v>
      </c>
      <c r="C209" s="41" t="s">
        <v>218</v>
      </c>
      <c r="D209" s="41">
        <v>1.0</v>
      </c>
      <c r="E209" s="41" t="s">
        <v>115</v>
      </c>
      <c r="F209" s="41" t="s">
        <v>180</v>
      </c>
      <c r="G209" s="41" t="s">
        <v>181</v>
      </c>
      <c r="H209" s="41" t="str">
        <f t="shared" si="20"/>
        <v>-</v>
      </c>
      <c r="I209" s="41" t="s">
        <v>182</v>
      </c>
      <c r="J209" s="41" t="s">
        <v>181</v>
      </c>
    </row>
    <row r="210">
      <c r="A210" s="40" t="s">
        <v>306</v>
      </c>
      <c r="B210" s="41" t="s">
        <v>73</v>
      </c>
      <c r="C210" s="41" t="s">
        <v>220</v>
      </c>
      <c r="D210" s="41">
        <v>14.0</v>
      </c>
      <c r="E210" s="41" t="s">
        <v>115</v>
      </c>
      <c r="F210" s="41" t="s">
        <v>180</v>
      </c>
      <c r="G210" s="41" t="s">
        <v>181</v>
      </c>
      <c r="H210" s="41" t="str">
        <f t="shared" si="20"/>
        <v>-</v>
      </c>
      <c r="I210" s="41" t="s">
        <v>182</v>
      </c>
      <c r="J210" s="41" t="s">
        <v>181</v>
      </c>
    </row>
    <row r="211">
      <c r="A211" s="40" t="s">
        <v>307</v>
      </c>
      <c r="B211" s="41" t="s">
        <v>73</v>
      </c>
      <c r="C211" s="41" t="s">
        <v>308</v>
      </c>
      <c r="D211" s="41">
        <v>28.0</v>
      </c>
      <c r="E211" s="41" t="s">
        <v>115</v>
      </c>
      <c r="F211" s="41" t="s">
        <v>180</v>
      </c>
      <c r="G211" s="41" t="s">
        <v>181</v>
      </c>
      <c r="H211" s="41" t="str">
        <f t="shared" si="20"/>
        <v>-</v>
      </c>
      <c r="I211" s="41" t="s">
        <v>182</v>
      </c>
      <c r="J211" s="41" t="s">
        <v>181</v>
      </c>
    </row>
    <row r="214">
      <c r="A214" s="39" t="s">
        <v>309</v>
      </c>
    </row>
    <row r="216">
      <c r="A216" s="45" t="s">
        <v>74</v>
      </c>
      <c r="B216" s="45" t="s">
        <v>23</v>
      </c>
      <c r="C216" s="45" t="s">
        <v>75</v>
      </c>
      <c r="D216" s="45" t="s">
        <v>76</v>
      </c>
      <c r="E216" s="45" t="s">
        <v>77</v>
      </c>
      <c r="F216" s="45" t="s">
        <v>78</v>
      </c>
      <c r="G216" s="45" t="s">
        <v>79</v>
      </c>
      <c r="H216" s="45" t="s">
        <v>4</v>
      </c>
      <c r="I216" s="45" t="s">
        <v>80</v>
      </c>
      <c r="J216" s="45" t="s">
        <v>81</v>
      </c>
    </row>
    <row r="217">
      <c r="A217" s="40" t="s">
        <v>310</v>
      </c>
      <c r="B217" s="41" t="s">
        <v>82</v>
      </c>
      <c r="C217" s="41" t="s">
        <v>311</v>
      </c>
      <c r="D217" s="41" t="s">
        <v>226</v>
      </c>
      <c r="E217" s="41" t="s">
        <v>227</v>
      </c>
      <c r="F217" s="41" t="s">
        <v>228</v>
      </c>
      <c r="G217" s="41" t="s">
        <v>181</v>
      </c>
      <c r="H217" s="41">
        <f t="shared" ref="H217:H220" si="21">IFS(F217="Reference", "-", F217="Boolean", IF(D217="Yes", 100, 0), F217="BooleanInverse", IF(D217="No", 100, 0), F217="Zero", MAX(0, 100 - (D217 * 10)), F217="Lower", IF(D217&lt;=G217, 100, MAX(0, 100 - ((D217 - G217) * 2))))</f>
        <v>100</v>
      </c>
      <c r="I217" s="41" t="s">
        <v>229</v>
      </c>
      <c r="J217" s="41" t="s">
        <v>95</v>
      </c>
    </row>
    <row r="218">
      <c r="A218" s="40" t="s">
        <v>312</v>
      </c>
      <c r="B218" s="41" t="s">
        <v>82</v>
      </c>
      <c r="C218" s="41" t="s">
        <v>313</v>
      </c>
      <c r="D218" s="41" t="s">
        <v>226</v>
      </c>
      <c r="E218" s="41" t="s">
        <v>227</v>
      </c>
      <c r="F218" s="41" t="s">
        <v>228</v>
      </c>
      <c r="G218" s="41" t="s">
        <v>181</v>
      </c>
      <c r="H218" s="41">
        <f t="shared" si="21"/>
        <v>100</v>
      </c>
      <c r="I218" s="41" t="s">
        <v>229</v>
      </c>
      <c r="J218" s="41" t="s">
        <v>95</v>
      </c>
    </row>
    <row r="219">
      <c r="A219" s="40" t="s">
        <v>314</v>
      </c>
      <c r="B219" s="41" t="s">
        <v>82</v>
      </c>
      <c r="C219" s="41" t="s">
        <v>315</v>
      </c>
      <c r="D219" s="41" t="s">
        <v>287</v>
      </c>
      <c r="E219" s="41" t="s">
        <v>227</v>
      </c>
      <c r="F219" s="41" t="s">
        <v>180</v>
      </c>
      <c r="G219" s="41" t="s">
        <v>181</v>
      </c>
      <c r="H219" s="41" t="str">
        <f t="shared" si="21"/>
        <v>-</v>
      </c>
      <c r="I219" s="41" t="s">
        <v>182</v>
      </c>
      <c r="J219" s="41" t="s">
        <v>181</v>
      </c>
    </row>
    <row r="220">
      <c r="A220" s="40" t="s">
        <v>316</v>
      </c>
      <c r="B220" s="41" t="s">
        <v>82</v>
      </c>
      <c r="C220" s="41" t="s">
        <v>317</v>
      </c>
      <c r="D220" s="41">
        <v>12.0</v>
      </c>
      <c r="E220" s="41" t="s">
        <v>115</v>
      </c>
      <c r="F220" s="41" t="s">
        <v>180</v>
      </c>
      <c r="G220" s="41" t="s">
        <v>181</v>
      </c>
      <c r="H220" s="41" t="str">
        <f t="shared" si="21"/>
        <v>-</v>
      </c>
      <c r="I220" s="41" t="s">
        <v>182</v>
      </c>
      <c r="J220" s="41" t="s">
        <v>181</v>
      </c>
    </row>
    <row r="223">
      <c r="A223" s="39" t="s">
        <v>318</v>
      </c>
    </row>
    <row r="225">
      <c r="A225" s="45" t="s">
        <v>74</v>
      </c>
      <c r="B225" s="45" t="s">
        <v>23</v>
      </c>
      <c r="C225" s="45" t="s">
        <v>75</v>
      </c>
      <c r="D225" s="45" t="s">
        <v>76</v>
      </c>
      <c r="E225" s="45" t="s">
        <v>77</v>
      </c>
      <c r="F225" s="45" t="s">
        <v>78</v>
      </c>
      <c r="G225" s="45" t="s">
        <v>79</v>
      </c>
      <c r="H225" s="45" t="s">
        <v>4</v>
      </c>
      <c r="I225" s="45" t="s">
        <v>80</v>
      </c>
      <c r="J225" s="45" t="s">
        <v>81</v>
      </c>
    </row>
    <row r="226">
      <c r="A226" s="40" t="s">
        <v>319</v>
      </c>
      <c r="B226" s="41" t="s">
        <v>90</v>
      </c>
      <c r="C226" s="41" t="s">
        <v>320</v>
      </c>
      <c r="D226" s="41" t="s">
        <v>226</v>
      </c>
      <c r="E226" s="41" t="s">
        <v>227</v>
      </c>
      <c r="F226" s="41" t="s">
        <v>228</v>
      </c>
      <c r="G226" s="41" t="s">
        <v>181</v>
      </c>
      <c r="H226" s="41">
        <f t="shared" ref="H226:H229" si="22">IFS(F226="Reference", "-", F226="Boolean", IF(D226="Yes", 100, 0), F226="BooleanInverse", IF(D226="No", 100, 0), F226="Zero", MAX(0, 100 - (D226 * 10)), F226="Lower", IF(D226&lt;=G226, 100, MAX(0, 100 - ((D226 - G226) * 2))))</f>
        <v>100</v>
      </c>
      <c r="I226" s="41" t="s">
        <v>229</v>
      </c>
      <c r="J226" s="41" t="s">
        <v>95</v>
      </c>
    </row>
    <row r="227">
      <c r="A227" s="40" t="s">
        <v>321</v>
      </c>
      <c r="B227" s="41" t="s">
        <v>90</v>
      </c>
      <c r="C227" s="41" t="s">
        <v>322</v>
      </c>
      <c r="D227" s="41" t="s">
        <v>226</v>
      </c>
      <c r="E227" s="41" t="s">
        <v>227</v>
      </c>
      <c r="F227" s="41" t="s">
        <v>228</v>
      </c>
      <c r="G227" s="41" t="s">
        <v>181</v>
      </c>
      <c r="H227" s="41">
        <f t="shared" si="22"/>
        <v>100</v>
      </c>
      <c r="I227" s="41" t="s">
        <v>229</v>
      </c>
      <c r="J227" s="41" t="s">
        <v>95</v>
      </c>
    </row>
    <row r="228">
      <c r="A228" s="40" t="s">
        <v>323</v>
      </c>
      <c r="B228" s="41" t="s">
        <v>90</v>
      </c>
      <c r="C228" s="41" t="s">
        <v>324</v>
      </c>
      <c r="D228" s="41">
        <v>48500.0</v>
      </c>
      <c r="E228" s="41" t="s">
        <v>115</v>
      </c>
      <c r="F228" s="41" t="s">
        <v>180</v>
      </c>
      <c r="G228" s="41" t="s">
        <v>181</v>
      </c>
      <c r="H228" s="41" t="str">
        <f t="shared" si="22"/>
        <v>-</v>
      </c>
      <c r="I228" s="41" t="s">
        <v>182</v>
      </c>
      <c r="J228" s="41" t="s">
        <v>181</v>
      </c>
    </row>
    <row r="229">
      <c r="A229" s="40" t="s">
        <v>325</v>
      </c>
      <c r="B229" s="41" t="s">
        <v>90</v>
      </c>
      <c r="C229" s="41" t="s">
        <v>326</v>
      </c>
      <c r="D229" s="41">
        <v>14.0</v>
      </c>
      <c r="E229" s="41" t="s">
        <v>115</v>
      </c>
      <c r="F229" s="41" t="s">
        <v>180</v>
      </c>
      <c r="G229" s="41" t="s">
        <v>181</v>
      </c>
      <c r="H229" s="41" t="str">
        <f t="shared" si="22"/>
        <v>-</v>
      </c>
      <c r="I229" s="41" t="s">
        <v>182</v>
      </c>
      <c r="J229" s="41" t="s">
        <v>181</v>
      </c>
    </row>
    <row r="232">
      <c r="A232" s="39" t="s">
        <v>327</v>
      </c>
    </row>
    <row r="234">
      <c r="A234" s="46" t="s">
        <v>74</v>
      </c>
      <c r="B234" s="46" t="s">
        <v>23</v>
      </c>
      <c r="C234" s="46" t="s">
        <v>75</v>
      </c>
      <c r="D234" s="46" t="s">
        <v>76</v>
      </c>
      <c r="E234" s="46" t="s">
        <v>77</v>
      </c>
      <c r="F234" s="46" t="s">
        <v>78</v>
      </c>
      <c r="G234" s="46" t="s">
        <v>79</v>
      </c>
      <c r="H234" s="46" t="s">
        <v>4</v>
      </c>
      <c r="I234" s="46" t="s">
        <v>80</v>
      </c>
      <c r="J234" s="46" t="s">
        <v>81</v>
      </c>
    </row>
    <row r="235">
      <c r="A235" s="47" t="s">
        <v>328</v>
      </c>
      <c r="B235" s="47" t="s">
        <v>96</v>
      </c>
      <c r="C235" s="47" t="s">
        <v>329</v>
      </c>
      <c r="D235" s="47" t="s">
        <v>226</v>
      </c>
      <c r="E235" s="47" t="s">
        <v>227</v>
      </c>
      <c r="F235" s="47" t="s">
        <v>228</v>
      </c>
      <c r="G235" s="47" t="s">
        <v>181</v>
      </c>
      <c r="H235" s="47">
        <f t="shared" ref="H235:H238" si="23">IFS(F235="Reference", "-", F235="Boolean", IF(D235="Yes", 100, 0), F235="BooleanInverse", IF(D235="No", 100, 0), F235="Zero", MAX(0, 100 - (D235 * 10)), F235="Lower", IF(D235&lt;=G235, 100, MAX(0, 100 - ((D235 - G235) * 2))))</f>
        <v>100</v>
      </c>
      <c r="I235" s="47" t="s">
        <v>229</v>
      </c>
      <c r="J235" s="47" t="s">
        <v>95</v>
      </c>
    </row>
    <row r="236">
      <c r="A236" s="47" t="s">
        <v>330</v>
      </c>
      <c r="B236" s="47" t="s">
        <v>96</v>
      </c>
      <c r="C236" s="47" t="s">
        <v>331</v>
      </c>
      <c r="D236" s="47" t="s">
        <v>287</v>
      </c>
      <c r="E236" s="47" t="s">
        <v>227</v>
      </c>
      <c r="F236" s="47" t="s">
        <v>228</v>
      </c>
      <c r="G236" s="47" t="s">
        <v>181</v>
      </c>
      <c r="H236" s="47">
        <f t="shared" si="23"/>
        <v>0</v>
      </c>
      <c r="I236" s="47" t="s">
        <v>229</v>
      </c>
      <c r="J236" s="47" t="s">
        <v>89</v>
      </c>
    </row>
    <row r="237">
      <c r="A237" s="47" t="s">
        <v>332</v>
      </c>
      <c r="B237" s="47" t="s">
        <v>96</v>
      </c>
      <c r="C237" s="47" t="s">
        <v>333</v>
      </c>
      <c r="D237" s="47">
        <v>4.0</v>
      </c>
      <c r="E237" s="47" t="s">
        <v>115</v>
      </c>
      <c r="F237" s="47" t="s">
        <v>116</v>
      </c>
      <c r="G237" s="47">
        <v>0.0</v>
      </c>
      <c r="H237" s="47">
        <f t="shared" si="23"/>
        <v>60</v>
      </c>
      <c r="I237" s="47">
        <v>0.0</v>
      </c>
      <c r="J237" s="47" t="s">
        <v>89</v>
      </c>
    </row>
    <row r="238">
      <c r="A238" s="47" t="s">
        <v>334</v>
      </c>
      <c r="B238" s="47" t="s">
        <v>96</v>
      </c>
      <c r="C238" s="47" t="s">
        <v>335</v>
      </c>
      <c r="D238" s="47" t="s">
        <v>226</v>
      </c>
      <c r="E238" s="47" t="s">
        <v>227</v>
      </c>
      <c r="F238" s="47" t="s">
        <v>228</v>
      </c>
      <c r="G238" s="47" t="s">
        <v>181</v>
      </c>
      <c r="H238" s="47">
        <f t="shared" si="23"/>
        <v>100</v>
      </c>
      <c r="I238" s="47" t="s">
        <v>229</v>
      </c>
      <c r="J238" s="47" t="s">
        <v>95</v>
      </c>
    </row>
    <row r="242">
      <c r="A242" s="1" t="s">
        <v>336</v>
      </c>
    </row>
    <row r="244">
      <c r="A244" s="39" t="s">
        <v>337</v>
      </c>
    </row>
    <row r="246">
      <c r="A246" s="48" t="s">
        <v>338</v>
      </c>
      <c r="B246" s="48" t="s">
        <v>23</v>
      </c>
      <c r="C246" s="48" t="s">
        <v>339</v>
      </c>
      <c r="D246" s="48" t="s">
        <v>340</v>
      </c>
      <c r="E246" s="48" t="s">
        <v>341</v>
      </c>
      <c r="F246" s="48" t="s">
        <v>342</v>
      </c>
    </row>
    <row r="247">
      <c r="A247" s="40" t="s">
        <v>343</v>
      </c>
      <c r="B247" s="41" t="s">
        <v>30</v>
      </c>
      <c r="C247" s="41" t="s">
        <v>344</v>
      </c>
      <c r="D247" s="41" t="s">
        <v>345</v>
      </c>
      <c r="E247" s="41">
        <v>22.4</v>
      </c>
      <c r="F247" s="41" t="s">
        <v>346</v>
      </c>
    </row>
    <row r="248">
      <c r="A248" s="40" t="s">
        <v>347</v>
      </c>
      <c r="B248" s="41" t="s">
        <v>36</v>
      </c>
      <c r="C248" s="41" t="s">
        <v>348</v>
      </c>
      <c r="D248" s="41" t="s">
        <v>349</v>
      </c>
      <c r="E248" s="41">
        <v>28.1</v>
      </c>
      <c r="F248" s="41" t="s">
        <v>346</v>
      </c>
    </row>
    <row r="249">
      <c r="A249" s="40" t="s">
        <v>350</v>
      </c>
      <c r="B249" s="41" t="s">
        <v>42</v>
      </c>
      <c r="C249" s="41" t="s">
        <v>351</v>
      </c>
      <c r="D249" s="41" t="s">
        <v>352</v>
      </c>
      <c r="E249" s="41">
        <v>11.5</v>
      </c>
      <c r="F249" s="41" t="s">
        <v>353</v>
      </c>
    </row>
    <row r="250">
      <c r="A250" s="40" t="s">
        <v>354</v>
      </c>
      <c r="B250" s="41" t="s">
        <v>48</v>
      </c>
      <c r="C250" s="41" t="s">
        <v>355</v>
      </c>
      <c r="D250" s="41" t="s">
        <v>356</v>
      </c>
      <c r="E250" s="41">
        <v>8.2</v>
      </c>
      <c r="F250" s="41" t="s">
        <v>353</v>
      </c>
    </row>
    <row r="251">
      <c r="A251" s="40" t="s">
        <v>357</v>
      </c>
      <c r="B251" s="41" t="s">
        <v>54</v>
      </c>
      <c r="C251" s="41" t="s">
        <v>358</v>
      </c>
      <c r="D251" s="41" t="s">
        <v>359</v>
      </c>
      <c r="E251" s="41">
        <v>4.8</v>
      </c>
      <c r="F251" s="41" t="s">
        <v>360</v>
      </c>
    </row>
    <row r="254">
      <c r="A254" s="39" t="s">
        <v>361</v>
      </c>
    </row>
    <row r="256">
      <c r="A256" s="48" t="s">
        <v>338</v>
      </c>
      <c r="B256" s="48" t="s">
        <v>23</v>
      </c>
      <c r="C256" s="48" t="s">
        <v>339</v>
      </c>
      <c r="D256" s="48" t="s">
        <v>340</v>
      </c>
      <c r="E256" s="48" t="s">
        <v>341</v>
      </c>
      <c r="F256" s="48" t="s">
        <v>342</v>
      </c>
    </row>
    <row r="257">
      <c r="A257" s="40" t="s">
        <v>362</v>
      </c>
      <c r="B257" s="41" t="s">
        <v>32</v>
      </c>
      <c r="C257" s="41" t="s">
        <v>363</v>
      </c>
      <c r="D257" s="41" t="s">
        <v>364</v>
      </c>
      <c r="E257" s="41">
        <v>8.5</v>
      </c>
      <c r="F257" s="41" t="s">
        <v>346</v>
      </c>
    </row>
    <row r="258">
      <c r="A258" s="40" t="s">
        <v>365</v>
      </c>
      <c r="B258" s="41" t="s">
        <v>38</v>
      </c>
      <c r="C258" s="41" t="s">
        <v>366</v>
      </c>
      <c r="D258" s="41" t="s">
        <v>367</v>
      </c>
      <c r="E258" s="41">
        <v>7.0</v>
      </c>
      <c r="F258" s="41" t="s">
        <v>346</v>
      </c>
    </row>
    <row r="259">
      <c r="A259" s="40" t="s">
        <v>368</v>
      </c>
      <c r="B259" s="41" t="s">
        <v>44</v>
      </c>
      <c r="C259" s="41" t="s">
        <v>369</v>
      </c>
      <c r="D259" s="41" t="s">
        <v>370</v>
      </c>
      <c r="E259" s="41">
        <v>6.5</v>
      </c>
      <c r="F259" s="41" t="s">
        <v>353</v>
      </c>
    </row>
    <row r="260">
      <c r="A260" s="40" t="s">
        <v>371</v>
      </c>
      <c r="B260" s="41" t="s">
        <v>50</v>
      </c>
      <c r="C260" s="41" t="s">
        <v>372</v>
      </c>
      <c r="D260" s="41" t="s">
        <v>373</v>
      </c>
      <c r="E260" s="41">
        <v>4.0</v>
      </c>
      <c r="F260" s="41" t="s">
        <v>353</v>
      </c>
    </row>
    <row r="261">
      <c r="A261" s="40" t="s">
        <v>374</v>
      </c>
      <c r="B261" s="41" t="s">
        <v>56</v>
      </c>
      <c r="C261" s="41" t="s">
        <v>375</v>
      </c>
      <c r="D261" s="41" t="s">
        <v>376</v>
      </c>
      <c r="E261" s="41">
        <v>2.0</v>
      </c>
      <c r="F261" s="41" t="s">
        <v>360</v>
      </c>
    </row>
    <row r="264">
      <c r="A264" s="39" t="s">
        <v>377</v>
      </c>
    </row>
    <row r="266">
      <c r="A266" s="49" t="s">
        <v>338</v>
      </c>
      <c r="B266" s="49" t="s">
        <v>23</v>
      </c>
      <c r="C266" s="49" t="s">
        <v>339</v>
      </c>
      <c r="D266" s="49" t="s">
        <v>340</v>
      </c>
      <c r="E266" s="49" t="s">
        <v>341</v>
      </c>
      <c r="F266" s="49" t="s">
        <v>342</v>
      </c>
    </row>
    <row r="267">
      <c r="A267" s="50" t="s">
        <v>378</v>
      </c>
      <c r="B267" s="50" t="s">
        <v>40</v>
      </c>
      <c r="C267" s="50" t="s">
        <v>379</v>
      </c>
      <c r="D267" s="50" t="s">
        <v>380</v>
      </c>
      <c r="E267" s="50">
        <v>1.8</v>
      </c>
      <c r="F267" s="50" t="s">
        <v>353</v>
      </c>
    </row>
    <row r="268">
      <c r="A268" s="50" t="s">
        <v>381</v>
      </c>
      <c r="B268" s="50" t="s">
        <v>52</v>
      </c>
      <c r="C268" s="50" t="s">
        <v>382</v>
      </c>
      <c r="D268" s="50" t="s">
        <v>383</v>
      </c>
      <c r="E268" s="50">
        <v>1.2</v>
      </c>
      <c r="F268" s="50" t="s">
        <v>353</v>
      </c>
    </row>
    <row r="269">
      <c r="A269" s="50" t="s">
        <v>384</v>
      </c>
      <c r="B269" s="50" t="s">
        <v>46</v>
      </c>
      <c r="C269" s="50" t="s">
        <v>385</v>
      </c>
      <c r="D269" s="50" t="s">
        <v>386</v>
      </c>
      <c r="E269" s="50">
        <v>1.0</v>
      </c>
      <c r="F269" s="50" t="s">
        <v>360</v>
      </c>
    </row>
    <row r="272">
      <c r="A272" s="39" t="s">
        <v>387</v>
      </c>
    </row>
    <row r="274">
      <c r="A274" s="51" t="s">
        <v>338</v>
      </c>
      <c r="B274" s="51" t="s">
        <v>23</v>
      </c>
      <c r="C274" s="51" t="s">
        <v>339</v>
      </c>
      <c r="D274" s="51" t="s">
        <v>340</v>
      </c>
      <c r="E274" s="51" t="s">
        <v>341</v>
      </c>
      <c r="F274" s="51" t="s">
        <v>342</v>
      </c>
    </row>
    <row r="275">
      <c r="A275" s="35" t="s">
        <v>388</v>
      </c>
      <c r="B275" s="36" t="s">
        <v>96</v>
      </c>
      <c r="C275" s="36" t="s">
        <v>389</v>
      </c>
      <c r="D275" s="36" t="s">
        <v>390</v>
      </c>
      <c r="E275" s="36">
        <v>8.5</v>
      </c>
      <c r="F275" s="36" t="s">
        <v>346</v>
      </c>
    </row>
    <row r="276">
      <c r="A276" s="35" t="s">
        <v>391</v>
      </c>
      <c r="B276" s="36" t="s">
        <v>96</v>
      </c>
      <c r="C276" s="36" t="s">
        <v>392</v>
      </c>
      <c r="D276" s="36" t="s">
        <v>393</v>
      </c>
      <c r="E276" s="36">
        <v>5.0</v>
      </c>
      <c r="F276" s="36" t="s">
        <v>353</v>
      </c>
    </row>
    <row r="277">
      <c r="A277" s="35" t="s">
        <v>394</v>
      </c>
      <c r="B277" s="36" t="s">
        <v>68</v>
      </c>
      <c r="C277" s="36" t="s">
        <v>395</v>
      </c>
      <c r="D277" s="36" t="s">
        <v>396</v>
      </c>
      <c r="E277" s="36">
        <v>2.0</v>
      </c>
      <c r="F277" s="36" t="s">
        <v>353</v>
      </c>
    </row>
    <row r="278">
      <c r="A278" s="35" t="s">
        <v>397</v>
      </c>
      <c r="B278" s="36" t="s">
        <v>82</v>
      </c>
      <c r="C278" s="36" t="s">
        <v>398</v>
      </c>
      <c r="D278" s="36" t="s">
        <v>399</v>
      </c>
      <c r="E278" s="36">
        <v>1.5</v>
      </c>
      <c r="F278" s="36" t="s">
        <v>360</v>
      </c>
    </row>
  </sheetData>
  <mergeCells count="20">
    <mergeCell ref="N20:O20"/>
    <mergeCell ref="N21:O21"/>
    <mergeCell ref="N22:O22"/>
    <mergeCell ref="N23:O23"/>
    <mergeCell ref="E9:F9"/>
    <mergeCell ref="F16:G16"/>
    <mergeCell ref="N16:O16"/>
    <mergeCell ref="F17:G17"/>
    <mergeCell ref="N17:O17"/>
    <mergeCell ref="N18:O18"/>
    <mergeCell ref="N19:O19"/>
    <mergeCell ref="A27:D27"/>
    <mergeCell ref="A30:E30"/>
    <mergeCell ref="A1:D1"/>
    <mergeCell ref="E4:F4"/>
    <mergeCell ref="E5:F5"/>
    <mergeCell ref="E6:F6"/>
    <mergeCell ref="E7:F7"/>
    <mergeCell ref="E8:F8"/>
    <mergeCell ref="A13:D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5.75"/>
    <col customWidth="1" min="3" max="3" width="28.88"/>
    <col customWidth="1" min="4" max="4" width="32.88"/>
    <col customWidth="1" min="5" max="5" width="31.25"/>
    <col customWidth="1" min="6" max="6" width="48.88"/>
  </cols>
  <sheetData>
    <row r="1">
      <c r="A1" s="52"/>
      <c r="B1" s="53" t="s">
        <v>400</v>
      </c>
    </row>
    <row r="2">
      <c r="A2" s="52"/>
    </row>
    <row r="3">
      <c r="A3" s="52"/>
    </row>
    <row r="4">
      <c r="A4" s="52" t="s">
        <v>401</v>
      </c>
    </row>
    <row r="6" ht="22.5" customHeight="1">
      <c r="A6" s="54" t="s">
        <v>402</v>
      </c>
      <c r="B6" s="54" t="s">
        <v>403</v>
      </c>
      <c r="C6" s="54" t="s">
        <v>7</v>
      </c>
      <c r="D6" s="54" t="s">
        <v>10</v>
      </c>
      <c r="E6" s="54" t="s">
        <v>13</v>
      </c>
      <c r="F6" s="54" t="s">
        <v>16</v>
      </c>
      <c r="G6" s="54" t="s">
        <v>404</v>
      </c>
      <c r="H6" s="54" t="s">
        <v>405</v>
      </c>
    </row>
    <row r="7" ht="22.5" customHeight="1">
      <c r="A7" s="55">
        <v>1.0</v>
      </c>
      <c r="B7" s="55">
        <v>1.0</v>
      </c>
      <c r="C7" s="55">
        <v>36.0</v>
      </c>
      <c r="D7" s="55">
        <v>77.0</v>
      </c>
      <c r="E7" s="55">
        <v>96.0</v>
      </c>
      <c r="F7" s="55">
        <v>92.0</v>
      </c>
      <c r="G7" s="56">
        <v>46024.0</v>
      </c>
      <c r="H7" s="55" t="s">
        <v>406</v>
      </c>
    </row>
    <row r="9">
      <c r="A9" s="52" t="s">
        <v>405</v>
      </c>
    </row>
    <row r="12" ht="22.5" customHeight="1">
      <c r="A12" s="54" t="s">
        <v>407</v>
      </c>
      <c r="B12" s="54" t="s">
        <v>408</v>
      </c>
      <c r="C12" s="54" t="s">
        <v>5</v>
      </c>
      <c r="D12" s="54" t="s">
        <v>409</v>
      </c>
      <c r="E12" s="54" t="s">
        <v>342</v>
      </c>
    </row>
    <row r="13" ht="22.5" customHeight="1">
      <c r="A13" s="55" t="s">
        <v>31</v>
      </c>
      <c r="B13" s="55" t="s">
        <v>410</v>
      </c>
      <c r="C13" s="55" t="s">
        <v>8</v>
      </c>
      <c r="D13" s="55" t="s">
        <v>411</v>
      </c>
      <c r="E13" s="55" t="s">
        <v>346</v>
      </c>
    </row>
    <row r="14" ht="22.5" customHeight="1">
      <c r="A14" s="55" t="s">
        <v>412</v>
      </c>
      <c r="B14" s="55" t="s">
        <v>413</v>
      </c>
      <c r="C14" s="55" t="s">
        <v>414</v>
      </c>
      <c r="D14" s="55" t="s">
        <v>415</v>
      </c>
      <c r="E14" s="55" t="s">
        <v>416</v>
      </c>
    </row>
    <row r="15" ht="22.5" customHeight="1">
      <c r="A15" s="55" t="s">
        <v>43</v>
      </c>
      <c r="B15" s="55">
        <v>0.0</v>
      </c>
      <c r="C15" s="55" t="s">
        <v>11</v>
      </c>
      <c r="D15" s="55" t="s">
        <v>417</v>
      </c>
      <c r="E15" s="55" t="s">
        <v>360</v>
      </c>
    </row>
    <row r="16" ht="22.5" customHeight="1">
      <c r="A16" s="55" t="s">
        <v>49</v>
      </c>
      <c r="B16" s="55" t="s">
        <v>418</v>
      </c>
      <c r="C16" s="55" t="s">
        <v>8</v>
      </c>
      <c r="D16" s="55" t="s">
        <v>419</v>
      </c>
      <c r="E16" s="55" t="s">
        <v>353</v>
      </c>
    </row>
    <row r="17" ht="22.5" customHeight="1">
      <c r="A17" s="55" t="s">
        <v>85</v>
      </c>
      <c r="B17" s="55" t="s">
        <v>420</v>
      </c>
      <c r="C17" s="55" t="s">
        <v>8</v>
      </c>
      <c r="D17" s="55" t="s">
        <v>421</v>
      </c>
      <c r="E17" s="55" t="s">
        <v>346</v>
      </c>
    </row>
    <row r="21">
      <c r="A21" s="52" t="s">
        <v>422</v>
      </c>
    </row>
    <row r="24" ht="22.5" customHeight="1">
      <c r="A24" s="54" t="s">
        <v>423</v>
      </c>
      <c r="B24" s="54" t="s">
        <v>2</v>
      </c>
      <c r="C24" s="54" t="s">
        <v>339</v>
      </c>
      <c r="D24" s="54" t="s">
        <v>408</v>
      </c>
      <c r="E24" s="54" t="s">
        <v>424</v>
      </c>
      <c r="F24" s="54" t="s">
        <v>425</v>
      </c>
      <c r="G24" s="54" t="s">
        <v>342</v>
      </c>
      <c r="H24" s="54" t="s">
        <v>5</v>
      </c>
    </row>
    <row r="25" ht="22.5" customHeight="1">
      <c r="A25" s="55">
        <v>1.0</v>
      </c>
      <c r="B25" s="55" t="s">
        <v>7</v>
      </c>
      <c r="C25" s="55" t="s">
        <v>426</v>
      </c>
      <c r="D25" s="55" t="s">
        <v>413</v>
      </c>
      <c r="E25" s="55" t="s">
        <v>427</v>
      </c>
      <c r="F25" s="55" t="s">
        <v>428</v>
      </c>
      <c r="G25" s="55" t="s">
        <v>416</v>
      </c>
      <c r="H25" s="55" t="s">
        <v>429</v>
      </c>
    </row>
    <row r="26" ht="22.5" customHeight="1">
      <c r="A26" s="55">
        <v>2.0</v>
      </c>
      <c r="B26" s="55" t="s">
        <v>7</v>
      </c>
      <c r="C26" s="55" t="s">
        <v>430</v>
      </c>
      <c r="D26" s="55" t="s">
        <v>410</v>
      </c>
      <c r="E26" s="55" t="s">
        <v>431</v>
      </c>
      <c r="F26" s="55" t="s">
        <v>432</v>
      </c>
      <c r="G26" s="55" t="s">
        <v>346</v>
      </c>
      <c r="H26" s="55" t="s">
        <v>429</v>
      </c>
    </row>
    <row r="27" ht="22.5" customHeight="1">
      <c r="A27" s="55">
        <v>3.0</v>
      </c>
      <c r="B27" s="55" t="s">
        <v>7</v>
      </c>
      <c r="C27" s="55" t="s">
        <v>433</v>
      </c>
      <c r="D27" s="55" t="s">
        <v>418</v>
      </c>
      <c r="E27" s="55" t="s">
        <v>434</v>
      </c>
      <c r="F27" s="55" t="s">
        <v>435</v>
      </c>
      <c r="G27" s="55" t="s">
        <v>353</v>
      </c>
      <c r="H27" s="55" t="s">
        <v>429</v>
      </c>
    </row>
    <row r="28" ht="22.5" customHeight="1">
      <c r="A28" s="55">
        <v>4.0</v>
      </c>
      <c r="B28" s="55" t="s">
        <v>7</v>
      </c>
      <c r="C28" s="55" t="s">
        <v>436</v>
      </c>
      <c r="D28" s="55" t="s">
        <v>420</v>
      </c>
      <c r="E28" s="55" t="s">
        <v>437</v>
      </c>
      <c r="F28" s="55" t="s">
        <v>438</v>
      </c>
      <c r="G28" s="55" t="s">
        <v>346</v>
      </c>
      <c r="H28" s="55" t="s">
        <v>429</v>
      </c>
    </row>
    <row r="29" ht="22.5" customHeight="1">
      <c r="A29" s="55">
        <v>5.0</v>
      </c>
      <c r="B29" s="55" t="s">
        <v>10</v>
      </c>
      <c r="C29" s="55" t="s">
        <v>439</v>
      </c>
      <c r="D29" s="55">
        <v>77.0</v>
      </c>
      <c r="E29" s="55" t="s">
        <v>440</v>
      </c>
      <c r="F29" s="55" t="s">
        <v>441</v>
      </c>
      <c r="G29" s="55" t="s">
        <v>353</v>
      </c>
      <c r="H29" s="55" t="s">
        <v>429</v>
      </c>
    </row>
    <row r="30" ht="22.5" customHeight="1">
      <c r="A30" s="55">
        <v>6.0</v>
      </c>
      <c r="B30" s="55" t="s">
        <v>16</v>
      </c>
      <c r="C30" s="55" t="s">
        <v>442</v>
      </c>
      <c r="D30" s="55">
        <v>92.0</v>
      </c>
      <c r="E30" s="55" t="s">
        <v>443</v>
      </c>
      <c r="F30" s="55" t="s">
        <v>444</v>
      </c>
      <c r="G30" s="55" t="s">
        <v>360</v>
      </c>
      <c r="H30" s="55" t="s">
        <v>429</v>
      </c>
    </row>
    <row r="31" ht="22.5" customHeight="1">
      <c r="A31" s="55">
        <v>7.0</v>
      </c>
      <c r="B31" s="55" t="s">
        <v>13</v>
      </c>
      <c r="C31" s="55" t="s">
        <v>445</v>
      </c>
      <c r="D31" s="55" t="s">
        <v>446</v>
      </c>
      <c r="E31" s="55" t="s">
        <v>447</v>
      </c>
      <c r="F31" s="55" t="s">
        <v>448</v>
      </c>
      <c r="G31" s="55" t="s">
        <v>360</v>
      </c>
      <c r="H31" s="55" t="s">
        <v>429</v>
      </c>
    </row>
    <row r="34">
      <c r="A34" s="52" t="s">
        <v>449</v>
      </c>
    </row>
    <row r="37" ht="22.5" customHeight="1">
      <c r="A37" s="54" t="s">
        <v>450</v>
      </c>
      <c r="B37" s="54" t="s">
        <v>451</v>
      </c>
      <c r="C37" s="54" t="s">
        <v>452</v>
      </c>
      <c r="D37" s="54" t="s">
        <v>453</v>
      </c>
      <c r="E37" s="54" t="s">
        <v>342</v>
      </c>
      <c r="F37" s="54" t="s">
        <v>5</v>
      </c>
    </row>
    <row r="38" ht="22.5" customHeight="1">
      <c r="A38" s="55" t="s">
        <v>454</v>
      </c>
      <c r="B38" s="55" t="s">
        <v>455</v>
      </c>
      <c r="C38" s="55" t="s">
        <v>456</v>
      </c>
      <c r="D38" s="55" t="s">
        <v>457</v>
      </c>
      <c r="E38" s="55" t="s">
        <v>346</v>
      </c>
      <c r="F38" s="55" t="s">
        <v>458</v>
      </c>
    </row>
    <row r="39" ht="22.5" customHeight="1">
      <c r="A39" s="55" t="s">
        <v>459</v>
      </c>
      <c r="B39" s="55" t="s">
        <v>460</v>
      </c>
      <c r="C39" s="55" t="s">
        <v>456</v>
      </c>
      <c r="D39" s="55" t="s">
        <v>461</v>
      </c>
      <c r="E39" s="55" t="s">
        <v>416</v>
      </c>
      <c r="F39" s="55" t="s">
        <v>458</v>
      </c>
    </row>
    <row r="40" ht="22.5" customHeight="1">
      <c r="A40" s="55" t="s">
        <v>462</v>
      </c>
      <c r="B40" s="55" t="s">
        <v>463</v>
      </c>
      <c r="C40" s="55" t="s">
        <v>464</v>
      </c>
      <c r="D40" s="55" t="s">
        <v>457</v>
      </c>
      <c r="E40" s="55" t="s">
        <v>346</v>
      </c>
      <c r="F40" s="55" t="s">
        <v>458</v>
      </c>
    </row>
    <row r="41" ht="22.5" customHeight="1">
      <c r="A41" s="55" t="s">
        <v>465</v>
      </c>
      <c r="B41" s="55" t="s">
        <v>466</v>
      </c>
      <c r="C41" s="55" t="s">
        <v>467</v>
      </c>
      <c r="D41" s="55" t="s">
        <v>468</v>
      </c>
      <c r="E41" s="55" t="s">
        <v>346</v>
      </c>
      <c r="F41" s="55" t="s">
        <v>458</v>
      </c>
    </row>
    <row r="42" ht="22.5" customHeight="1">
      <c r="A42" s="55" t="s">
        <v>469</v>
      </c>
      <c r="B42" s="55" t="s">
        <v>470</v>
      </c>
      <c r="C42" s="55" t="s">
        <v>456</v>
      </c>
      <c r="D42" s="55" t="s">
        <v>471</v>
      </c>
      <c r="E42" s="55" t="s">
        <v>353</v>
      </c>
      <c r="F42" s="55" t="s">
        <v>458</v>
      </c>
    </row>
    <row r="43" ht="22.5" customHeight="1">
      <c r="A43" s="55" t="s">
        <v>472</v>
      </c>
      <c r="B43" s="55" t="s">
        <v>473</v>
      </c>
      <c r="C43" s="55" t="s">
        <v>474</v>
      </c>
      <c r="D43" s="55" t="s">
        <v>475</v>
      </c>
      <c r="E43" s="55" t="s">
        <v>353</v>
      </c>
      <c r="F43" s="55" t="s">
        <v>458</v>
      </c>
    </row>
    <row r="44" ht="22.5" customHeight="1">
      <c r="A44" s="55" t="s">
        <v>476</v>
      </c>
      <c r="B44" s="55" t="s">
        <v>477</v>
      </c>
      <c r="C44" s="55" t="s">
        <v>478</v>
      </c>
      <c r="D44" s="55" t="s">
        <v>457</v>
      </c>
      <c r="E44" s="55" t="s">
        <v>360</v>
      </c>
      <c r="F44" s="55" t="s">
        <v>458</v>
      </c>
    </row>
    <row r="47">
      <c r="A47" s="52"/>
    </row>
    <row r="48">
      <c r="A48" s="52" t="s">
        <v>479</v>
      </c>
    </row>
    <row r="51" ht="22.5" customHeight="1">
      <c r="A51" s="54" t="s">
        <v>480</v>
      </c>
      <c r="B51" s="54" t="s">
        <v>481</v>
      </c>
      <c r="C51" s="54" t="s">
        <v>7</v>
      </c>
      <c r="D51" s="54" t="s">
        <v>10</v>
      </c>
      <c r="E51" s="54" t="s">
        <v>13</v>
      </c>
      <c r="F51" s="54" t="s">
        <v>16</v>
      </c>
      <c r="G51" s="54" t="s">
        <v>405</v>
      </c>
    </row>
    <row r="52" ht="22.5" customHeight="1">
      <c r="A52" s="55">
        <v>1.0</v>
      </c>
      <c r="B52" s="57">
        <v>46241.0</v>
      </c>
      <c r="C52" s="55">
        <v>36.0</v>
      </c>
      <c r="D52" s="55">
        <v>77.0</v>
      </c>
      <c r="E52" s="55">
        <v>96.0</v>
      </c>
      <c r="F52" s="55">
        <v>92.0</v>
      </c>
      <c r="G52" s="55" t="s">
        <v>406</v>
      </c>
    </row>
    <row r="53" ht="22.5" customHeight="1">
      <c r="A53" s="55">
        <v>2.0</v>
      </c>
      <c r="B53" s="55" t="s">
        <v>482</v>
      </c>
      <c r="C53" s="55">
        <v>52.0</v>
      </c>
      <c r="D53" s="55">
        <v>82.0</v>
      </c>
      <c r="E53" s="55">
        <v>97.0</v>
      </c>
      <c r="F53" s="55">
        <v>94.0</v>
      </c>
      <c r="G53" s="55" t="s">
        <v>8</v>
      </c>
    </row>
    <row r="54" ht="22.5" customHeight="1">
      <c r="A54" s="55">
        <v>3.0</v>
      </c>
      <c r="B54" s="55" t="s">
        <v>483</v>
      </c>
      <c r="C54" s="55">
        <v>72.0</v>
      </c>
      <c r="D54" s="55">
        <v>90.0</v>
      </c>
      <c r="E54" s="55">
        <v>98.0</v>
      </c>
      <c r="F54" s="55">
        <v>98.0</v>
      </c>
      <c r="G54" s="55" t="s">
        <v>484</v>
      </c>
    </row>
    <row r="57">
      <c r="A57" s="52" t="s">
        <v>485</v>
      </c>
    </row>
    <row r="60" ht="22.5" customHeight="1">
      <c r="A60" s="54" t="s">
        <v>407</v>
      </c>
      <c r="B60" s="54" t="s">
        <v>76</v>
      </c>
    </row>
    <row r="61" ht="22.5" customHeight="1">
      <c r="A61" s="55" t="s">
        <v>486</v>
      </c>
      <c r="B61" s="55">
        <v>36.0</v>
      </c>
    </row>
    <row r="62" ht="22.5" customHeight="1">
      <c r="A62" s="55" t="s">
        <v>487</v>
      </c>
      <c r="B62" s="55">
        <v>77.0</v>
      </c>
    </row>
    <row r="63" ht="22.5" customHeight="1">
      <c r="A63" s="55" t="s">
        <v>488</v>
      </c>
      <c r="B63" s="55">
        <v>96.0</v>
      </c>
    </row>
    <row r="64" ht="22.5" customHeight="1">
      <c r="A64" s="55" t="s">
        <v>489</v>
      </c>
      <c r="B64" s="55">
        <v>92.0</v>
      </c>
    </row>
    <row r="65" ht="22.5" customHeight="1">
      <c r="A65" s="55" t="s">
        <v>405</v>
      </c>
      <c r="B65" s="55" t="s">
        <v>406</v>
      </c>
    </row>
    <row r="66" ht="22.5" customHeight="1">
      <c r="A66" s="55" t="s">
        <v>490</v>
      </c>
      <c r="B66" s="55">
        <v>1.0</v>
      </c>
    </row>
    <row r="67" ht="22.5" customHeight="1">
      <c r="A67" s="55" t="s">
        <v>491</v>
      </c>
      <c r="B67" s="55">
        <v>3.0</v>
      </c>
    </row>
    <row r="68" ht="22.5" customHeight="1">
      <c r="A68" s="55" t="s">
        <v>492</v>
      </c>
      <c r="B68" s="55">
        <v>2.0</v>
      </c>
    </row>
    <row r="69" ht="22.5" customHeight="1">
      <c r="A69" s="55" t="s">
        <v>493</v>
      </c>
      <c r="B69" s="55">
        <v>2.0</v>
      </c>
    </row>
    <row r="70" ht="22.5" customHeight="1">
      <c r="A70" s="55" t="s">
        <v>494</v>
      </c>
      <c r="B70" s="55">
        <v>7.0</v>
      </c>
    </row>
    <row r="71" ht="22.5" customHeight="1">
      <c r="A71" s="55" t="s">
        <v>495</v>
      </c>
      <c r="B71" s="55">
        <v>0.0</v>
      </c>
    </row>
    <row r="117">
      <c r="C117" s="58"/>
      <c r="D117" s="58"/>
      <c r="E117" s="58"/>
      <c r="F117" s="58"/>
      <c r="G117" s="2"/>
      <c r="H117" s="2"/>
      <c r="I117" s="2"/>
      <c r="J117" s="2"/>
    </row>
    <row r="118">
      <c r="C118" s="59"/>
      <c r="D118" s="60"/>
      <c r="E118" s="59"/>
      <c r="F118" s="58"/>
      <c r="G118" s="61"/>
      <c r="H118" s="61"/>
      <c r="I118" s="61"/>
      <c r="J118" s="2"/>
    </row>
    <row r="119">
      <c r="C119" s="59"/>
      <c r="D119" s="60"/>
      <c r="E119" s="59"/>
      <c r="F119" s="58"/>
      <c r="G119" s="61"/>
      <c r="H119" s="2"/>
      <c r="I119" s="2"/>
      <c r="J119" s="2"/>
    </row>
    <row r="120">
      <c r="C120" s="59"/>
      <c r="D120" s="62"/>
      <c r="E120" s="59"/>
      <c r="F120" s="8"/>
      <c r="G120" s="61"/>
      <c r="H120" s="61"/>
      <c r="I120" s="61"/>
      <c r="J120" s="2"/>
    </row>
    <row r="121">
      <c r="C121" s="59"/>
      <c r="D121" s="60"/>
      <c r="E121" s="59"/>
      <c r="F121" s="58"/>
      <c r="G121" s="2"/>
      <c r="H121" s="2"/>
      <c r="I121" s="2"/>
      <c r="J121" s="2"/>
    </row>
    <row r="122">
      <c r="C122" s="2"/>
      <c r="D122" s="2"/>
      <c r="E122" s="2"/>
      <c r="F122" s="58"/>
      <c r="G122" s="2"/>
      <c r="H122" s="2"/>
      <c r="I122" s="2"/>
      <c r="J122" s="2"/>
    </row>
    <row r="123">
      <c r="C123" s="2"/>
      <c r="D123" s="2"/>
      <c r="E123" s="2"/>
      <c r="F123" s="2"/>
      <c r="G123" s="2"/>
      <c r="H123" s="2"/>
      <c r="I123" s="2"/>
      <c r="J123" s="2"/>
    </row>
    <row r="124">
      <c r="C124" s="2"/>
      <c r="D124" s="2"/>
      <c r="E124" s="2"/>
      <c r="F124" s="2"/>
      <c r="G124" s="2"/>
      <c r="H124" s="2"/>
      <c r="I124" s="2"/>
      <c r="J124" s="2"/>
    </row>
  </sheetData>
  <dataValidations>
    <dataValidation type="custom" allowBlank="1" showDropDown="1" sqref="G7">
      <formula1>OR(NOT(ISERROR(DATEVALUE(G7))), AND(ISNUMBER(G7), LEFT(CELL("format", G7))="D"))</formula1>
    </dataValidation>
  </dataValidations>
  <hyperlinks>
    <hyperlink r:id="rId1" ref="B1"/>
  </hyperlinks>
  <drawing r:id="rId2"/>
  <tableParts count="6">
    <tablePart r:id="rId9"/>
    <tablePart r:id="rId10"/>
    <tablePart r:id="rId11"/>
    <tablePart r:id="rId12"/>
    <tablePart r:id="rId13"/>
    <tablePart r:id="rId14"/>
  </tableParts>
</worksheet>
</file>